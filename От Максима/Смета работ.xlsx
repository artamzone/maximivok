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 activeTab="1"/>
  </bookViews>
  <sheets>
    <sheet name="Электрика" sheetId="1" r:id="rId1"/>
    <sheet name="Отопление" sheetId="2" r:id="rId2"/>
    <sheet name="ШЕФ-МОНТАЖ" sheetId="3" r:id="rId3"/>
  </sheets>
  <calcPr calcId="145621" refMode="R1C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8" i="2" l="1"/>
  <c r="F48" i="2"/>
  <c r="F50" i="2"/>
  <c r="F62" i="2"/>
  <c r="F63" i="2"/>
  <c r="F64" i="2"/>
  <c r="F65" i="2"/>
  <c r="F66" i="2"/>
  <c r="F67" i="2"/>
  <c r="F68" i="2"/>
  <c r="F69" i="2"/>
  <c r="F70" i="2"/>
  <c r="F71" i="2"/>
  <c r="F72" i="2"/>
  <c r="F77" i="2"/>
  <c r="F78" i="2"/>
  <c r="F79" i="2"/>
  <c r="F80" i="2"/>
  <c r="F81" i="2"/>
  <c r="F82" i="2"/>
  <c r="E48" i="2"/>
  <c r="E82" i="2" l="1"/>
  <c r="E81" i="2"/>
  <c r="E80" i="2"/>
  <c r="E79" i="2"/>
  <c r="E78" i="2"/>
  <c r="E77" i="2"/>
  <c r="E76" i="2"/>
  <c r="F76" i="2" s="1"/>
  <c r="E75" i="2"/>
  <c r="F75" i="2" s="1"/>
  <c r="E74" i="2"/>
  <c r="F74" i="2" s="1"/>
  <c r="E73" i="2"/>
  <c r="F73" i="2" s="1"/>
  <c r="E72" i="2"/>
  <c r="E71" i="2"/>
  <c r="E70" i="2"/>
  <c r="E69" i="2"/>
  <c r="E68" i="2"/>
  <c r="E67" i="2"/>
  <c r="E66" i="2"/>
  <c r="E65" i="2"/>
  <c r="E64" i="2"/>
  <c r="E63" i="2"/>
  <c r="E62" i="2"/>
  <c r="E61" i="2"/>
  <c r="F61" i="2" s="1"/>
  <c r="E60" i="2"/>
  <c r="F60" i="2" s="1"/>
  <c r="E59" i="2"/>
  <c r="F59" i="2" s="1"/>
  <c r="E58" i="2"/>
  <c r="F58" i="2" s="1"/>
  <c r="E57" i="2"/>
  <c r="F57" i="2" s="1"/>
  <c r="E56" i="2"/>
  <c r="F56" i="2" s="1"/>
  <c r="E55" i="2"/>
  <c r="F55" i="2" s="1"/>
  <c r="E54" i="2"/>
  <c r="F54" i="2" s="1"/>
  <c r="E53" i="2"/>
  <c r="F53" i="2" s="1"/>
  <c r="E52" i="2"/>
  <c r="F52" i="2" s="1"/>
  <c r="E51" i="2"/>
  <c r="F51" i="2" s="1"/>
  <c r="E50" i="2"/>
  <c r="E49" i="2"/>
  <c r="F49" i="2" s="1"/>
  <c r="E47" i="2"/>
  <c r="F47" i="2" s="1"/>
  <c r="E46" i="2"/>
  <c r="F46" i="2" s="1"/>
  <c r="E45" i="2"/>
  <c r="F45" i="2" s="1"/>
  <c r="E44" i="2"/>
  <c r="F44" i="2" s="1"/>
  <c r="E43" i="2"/>
  <c r="F43" i="2" s="1"/>
  <c r="E42" i="2"/>
  <c r="F42" i="2" s="1"/>
  <c r="E41" i="2"/>
  <c r="F41" i="2" s="1"/>
  <c r="E40" i="2"/>
  <c r="F40" i="2" s="1"/>
  <c r="E39" i="2"/>
  <c r="F39" i="2" s="1"/>
  <c r="E38" i="2"/>
  <c r="E37" i="2"/>
  <c r="F37" i="2" s="1"/>
  <c r="E36" i="2"/>
  <c r="F36" i="2" s="1"/>
  <c r="E35" i="2"/>
  <c r="F35" i="2" s="1"/>
  <c r="E34" i="2"/>
  <c r="F34" i="2" s="1"/>
  <c r="E32" i="2"/>
  <c r="F32" i="2" s="1"/>
  <c r="E31" i="2"/>
  <c r="F31" i="2" s="1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E3" i="2"/>
  <c r="F3" i="2" s="1"/>
  <c r="F83" i="2" l="1"/>
  <c r="E83" i="2"/>
  <c r="J111" i="1" l="1"/>
  <c r="J110" i="1"/>
  <c r="J109" i="1"/>
  <c r="J108" i="1"/>
  <c r="J107" i="1"/>
  <c r="J103" i="1"/>
  <c r="J102" i="1"/>
  <c r="J101" i="1"/>
  <c r="J100" i="1"/>
  <c r="J99" i="1"/>
  <c r="J98" i="1"/>
  <c r="J97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E112" i="1" l="1"/>
  <c r="E104" i="1"/>
  <c r="E94" i="1"/>
  <c r="E49" i="1"/>
  <c r="E69" i="1"/>
  <c r="E29" i="1"/>
  <c r="J114" i="1"/>
</calcChain>
</file>

<file path=xl/sharedStrings.xml><?xml version="1.0" encoding="utf-8"?>
<sst xmlns="http://schemas.openxmlformats.org/spreadsheetml/2006/main" count="318" uniqueCount="217">
  <si>
    <r>
      <rPr>
        <b/>
        <sz val="11"/>
        <color rgb="FF000000"/>
        <rFont val="Arial Unicode MS"/>
        <family val="2"/>
        <charset val="204"/>
      </rPr>
      <t xml:space="preserve">                             </t>
    </r>
    <r>
      <rPr>
        <b/>
        <sz val="14"/>
        <color rgb="FF000000"/>
        <rFont val="Arial Unicode MS"/>
        <family val="2"/>
        <charset val="204"/>
      </rPr>
      <t>Смета на электромонтажные работы</t>
    </r>
    <r>
      <rPr>
        <b/>
        <sz val="11"/>
        <color rgb="FF000000"/>
        <rFont val="Arial Unicode MS"/>
        <family val="2"/>
        <charset val="204"/>
      </rPr>
      <t xml:space="preserve"> </t>
    </r>
  </si>
  <si>
    <t xml:space="preserve">  №</t>
  </si>
  <si>
    <t>Виды работ</t>
  </si>
  <si>
    <t>Ед. изм.</t>
  </si>
  <si>
    <t>Цена (руб.)</t>
  </si>
  <si>
    <t>Объём</t>
  </si>
  <si>
    <t>Стоимость</t>
  </si>
  <si>
    <t xml:space="preserve">      Штробление и прокладка кабеля</t>
  </si>
  <si>
    <t>Штробление стены в гипсе, газобетоне шир. до 20 мм.</t>
  </si>
  <si>
    <t>м. п.</t>
  </si>
  <si>
    <t>Штробление стены в кирпиче, бетоне шир. до 20 мм.</t>
  </si>
  <si>
    <t>Штробление стены в гипсе или газобетоне шириной до 50 мм.</t>
  </si>
  <si>
    <t>Штробление стены в кирпиче или бетоне шириной до 50 мм.</t>
  </si>
  <si>
    <t>Отверстие в кирпиче до 25 мм.</t>
  </si>
  <si>
    <t>шт.</t>
  </si>
  <si>
    <t>Отверстие в бетоне до 25 мм.</t>
  </si>
  <si>
    <t>Высверливание отверстий под подрозетник в ГКЛ</t>
  </si>
  <si>
    <t>Высверливание отверстий под подрозетник в кирпиче, бетоне</t>
  </si>
  <si>
    <t>Протяжка кабеля в гофру</t>
  </si>
  <si>
    <t>Прокладка кабеля скрытого в стене из ГКЛ</t>
  </si>
  <si>
    <t>Укладка кабеля в подвесном потолке (в гофре)</t>
  </si>
  <si>
    <t>Укладка кабеля в стяжке (гофра, труба)</t>
  </si>
  <si>
    <t>Укладка кабеля в штробе</t>
  </si>
  <si>
    <t>Протяжка провода в кабель-канале</t>
  </si>
  <si>
    <t>Прокладка кабеля на скобах по гипсу открытым способом</t>
  </si>
  <si>
    <t>Прокладка кабеля по кирпичу или бетону открытым способом</t>
  </si>
  <si>
    <t>Прокладка проводки в гофре открытым способом</t>
  </si>
  <si>
    <t>Укладка UTP или FTP кабеля для компьютера в ПВХ плинтус</t>
  </si>
  <si>
    <t>Прокладка TV или телефонного кабеля</t>
  </si>
  <si>
    <t>Укладка слаботочного кабеля пожарн. и охранной сигнализации</t>
  </si>
  <si>
    <t>Укладка силового кабеля до 6 мм2 в гофре</t>
  </si>
  <si>
    <t>Прокладка кабеля 10 мм2 в гофре</t>
  </si>
  <si>
    <t>Прокладка кабеля 16 мм2 в гофре</t>
  </si>
  <si>
    <t>Прокладка кабеля 25 мм2 в гофре</t>
  </si>
  <si>
    <t>Прокладка бронированного кабеля в металлической гофре</t>
  </si>
  <si>
    <t>Итого</t>
  </si>
  <si>
    <t xml:space="preserve">                         (прокладка кабеля):</t>
  </si>
  <si>
    <t>(руб.)</t>
  </si>
  <si>
    <t xml:space="preserve">               Монтаж электроточек</t>
  </si>
  <si>
    <t>Устройство подрозетника (кирпич, бетон)</t>
  </si>
  <si>
    <t>точка</t>
  </si>
  <si>
    <t>Установка подрозетника в ГКЛ</t>
  </si>
  <si>
    <t>Установка накладной распределительной распаечной коробки</t>
  </si>
  <si>
    <t>Установка распределительной распаечной коробки в ГКЛ</t>
  </si>
  <si>
    <t>Устройство распределительной распаечной коробки в кирпиче или бетоне</t>
  </si>
  <si>
    <t>Расключение распаечной коробки</t>
  </si>
  <si>
    <t>от</t>
  </si>
  <si>
    <t>Установка проходного переключателя</t>
  </si>
  <si>
    <t>Установка розетки компьютерной сети</t>
  </si>
  <si>
    <t>Установка терморегулятора тёплых полов</t>
  </si>
  <si>
    <t>Установка сетевой розетки на электрическую плиту</t>
  </si>
  <si>
    <t>Установка светильников в потолке "Армстронг"</t>
  </si>
  <si>
    <t>Установка и подключение бра</t>
  </si>
  <si>
    <t>Монтаж и подключение люстры (без сборки)</t>
  </si>
  <si>
    <t>Установка светильника типа "Плафон"</t>
  </si>
  <si>
    <t>Установка звонка и кнопки</t>
  </si>
  <si>
    <t xml:space="preserve">                    (устройство точек):</t>
  </si>
  <si>
    <t>Сборка распределительного электрощита</t>
  </si>
  <si>
    <t>Сборка и установка внутреннего электрощита до 18 модулей</t>
  </si>
  <si>
    <t>Монтаж и расключение слаботочного щитка</t>
  </si>
  <si>
    <t>Установка однополюсного автомата</t>
  </si>
  <si>
    <t>Установка двух или трех полюсного автомата</t>
  </si>
  <si>
    <t>Установка устройства защитного отключения (УЗО)</t>
  </si>
  <si>
    <t>Установка дифференциального автомата</t>
  </si>
  <si>
    <t>Установка трехфазного автомата защиты</t>
  </si>
  <si>
    <t xml:space="preserve">Установка четырех полюсного автомата или УЗО </t>
  </si>
  <si>
    <t>Переборка электрощита на лестничной клетке</t>
  </si>
  <si>
    <t>Подключение силового кабеля к главному щиту</t>
  </si>
  <si>
    <t>Подключение дачного дома к внешнему электрощиту</t>
  </si>
  <si>
    <t>Подключение телефонного и ТВ кабеля к слаботочному щиту</t>
  </si>
  <si>
    <t>Установка электрического счетчика однофазного 220 вольт</t>
  </si>
  <si>
    <t>Установка электрического счетчика трёхфазного 380 вольт</t>
  </si>
  <si>
    <t xml:space="preserve">                        (расключение щита):</t>
  </si>
  <si>
    <t xml:space="preserve">       Монтаж и подключение оборудования</t>
  </si>
  <si>
    <t>Подключение линии силовой к щиту (однофазная сеть)</t>
  </si>
  <si>
    <t>Подключение линии силовой к щиту (трехфазная сеть)</t>
  </si>
  <si>
    <t>Монтаж светодиодной ленты</t>
  </si>
  <si>
    <t>Монтаж теплого пола</t>
  </si>
  <si>
    <t>м2</t>
  </si>
  <si>
    <t>Замена датчика теплого пола</t>
  </si>
  <si>
    <t>Установка телевизионного разветвителя "краба"</t>
  </si>
  <si>
    <t>Установка трансформатора точечного светильника (12 вольт)</t>
  </si>
  <si>
    <t>Установка переговорного устройства (домофон) с подключ.</t>
  </si>
  <si>
    <t>Установка видеодомофона</t>
  </si>
  <si>
    <t>Подключение электроплиты</t>
  </si>
  <si>
    <t>Монтаж вытяжки с подключением</t>
  </si>
  <si>
    <t>Подключение стиральной или посудомоечной машины</t>
  </si>
  <si>
    <t>Подключение полотенцесушителя электрического</t>
  </si>
  <si>
    <t>Установка вентилятора под ключ</t>
  </si>
  <si>
    <t>Установка и подключение зеркала с подсветкой</t>
  </si>
  <si>
    <t>Подключение ванны джакузи, душевой кабины (без сборки)</t>
  </si>
  <si>
    <t>Монтаж вентилятора потолочного с люстрой</t>
  </si>
  <si>
    <t>Монтаж замка электрического с подключением</t>
  </si>
  <si>
    <t>Установка трансформатора</t>
  </si>
  <si>
    <t>Установка контактора</t>
  </si>
  <si>
    <t>Подключение стабилизатора</t>
  </si>
  <si>
    <t>Подключение генератора или инвертора</t>
  </si>
  <si>
    <t xml:space="preserve">                                 (монтаж оборудования):</t>
  </si>
  <si>
    <t xml:space="preserve">                 Демонтажные работы</t>
  </si>
  <si>
    <t>Демонтаж электрической точки (розетка, выключатель)</t>
  </si>
  <si>
    <t>Демонтаж распределительной (распаечной) коробки</t>
  </si>
  <si>
    <t>Демонтаж люстры, светильника, бра</t>
  </si>
  <si>
    <t>Демонтаж проводки электрической открытой</t>
  </si>
  <si>
    <t>Демонтаж электропроводки в коробе или кабель-канале</t>
  </si>
  <si>
    <t>Демонтаж электрического счетчика с автоматами</t>
  </si>
  <si>
    <t>Демонтаж силового щитка</t>
  </si>
  <si>
    <t>(демонтаж):</t>
  </si>
  <si>
    <t xml:space="preserve">                    Прочие работы</t>
  </si>
  <si>
    <t>Заделка штроб штукатуркой</t>
  </si>
  <si>
    <t>Поиск и устранение неисправности в электропроводке</t>
  </si>
  <si>
    <t>Устройство контура защитного заземления</t>
  </si>
  <si>
    <t>Монтаж крюка под люстру</t>
  </si>
  <si>
    <t>(прочее):</t>
  </si>
  <si>
    <t>© 2026</t>
  </si>
  <si>
    <t>(общая стоимость работ):</t>
  </si>
  <si>
    <t>Логистика, доставка</t>
  </si>
  <si>
    <t>Вид работы</t>
  </si>
  <si>
    <t>ЦЕНА</t>
  </si>
  <si>
    <t>кол-во</t>
  </si>
  <si>
    <t>СУММА</t>
  </si>
  <si>
    <t>ОТОПЛЕНИЕ</t>
  </si>
  <si>
    <t>Монтаж настенного двухконтурного котла до 30 кВт</t>
  </si>
  <si>
    <t>Монтаж настенного одноконтурного котла до 30 кВт</t>
  </si>
  <si>
    <t>Монтаж настенного электрического котла до 30 кВ</t>
  </si>
  <si>
    <t>Монтаж твердотопливного котла до 50 кВт</t>
  </si>
  <si>
    <t>Демонтаж котла, водонагревателя</t>
  </si>
  <si>
    <t>Демонтаж радиатора</t>
  </si>
  <si>
    <t>Заправка системы теплоносителем (для домов площадью до 250 м2)</t>
  </si>
  <si>
    <t>Заправка системы теплоносителем (для домов площадью 250-500 м2)</t>
  </si>
  <si>
    <t>Монтаж  маты теплого пола</t>
  </si>
  <si>
    <t>Монтаж водонагревателя косвенного нагрева до 200 л ( с рециркуляцией )</t>
  </si>
  <si>
    <t>Монтаж водяных «теплых полов»</t>
  </si>
  <si>
    <t>Монтаж группы регулирования температуры теплого пола</t>
  </si>
  <si>
    <t>Монтаж группы безопасности котла/водонагревателя</t>
  </si>
  <si>
    <t>Монтаж группы регулирования температуры радиаторной сети</t>
  </si>
  <si>
    <t>Монтаж магистральных труб системы отопления в теплоизоляции (сшитый полиэтилен) от Ø16-20</t>
  </si>
  <si>
    <t>Монтаж манометра, термометра, термоманометра за ед.</t>
  </si>
  <si>
    <t>Монтаж накопительного водонагревателя / буферной емкости до 1000 л</t>
  </si>
  <si>
    <t>Монтаж насосной группы до Ø32 мм</t>
  </si>
  <si>
    <t>Монтаж распределит. коллектора котельной до 60 кВт</t>
  </si>
  <si>
    <t>Монтаж распределит. коллектора котельной от 60 кВт</t>
  </si>
  <si>
    <t>Монтаж распределит. коллекторного шкафа</t>
  </si>
  <si>
    <t>Монтаж расширительного бака до 100 л</t>
  </si>
  <si>
    <t>Монтаж трубной изоляции на трубопроводы</t>
  </si>
  <si>
    <t>Монтаж циркуляционного насоса до Ø32 мм</t>
  </si>
  <si>
    <t>Опрессовка системы (для домов площадью до 250м2 )</t>
  </si>
  <si>
    <t>Прокладка магистральных труб системы отопления (металлопластик, сшитый полиэтилен) Ø25- 32 мм</t>
  </si>
  <si>
    <t>Прокладка магистральных труб системы отопления (полипропилен) до Ø32 мм</t>
  </si>
  <si>
    <t>Сборка и монтаж радиатора отопления</t>
  </si>
  <si>
    <t>КАНАЛИЗАЦИЯ</t>
  </si>
  <si>
    <t>Бурение отверстий до Ø 50</t>
  </si>
  <si>
    <t>Бурение отверстий свыше Ø 50</t>
  </si>
  <si>
    <t xml:space="preserve">Прокладка канализационной трубы </t>
  </si>
  <si>
    <t>Установка точки канализации</t>
  </si>
  <si>
    <t>Фановый стояк</t>
  </si>
  <si>
    <t>Монтаж канализационного стояка, лежака</t>
  </si>
  <si>
    <t>Монтаж канализационной насосной установки</t>
  </si>
  <si>
    <t>Монтаж трапа</t>
  </si>
  <si>
    <t>Водоснабжение</t>
  </si>
  <si>
    <t>Монтаж магистральных труб системы водоснабжения (сшитый полиэтилен) до Ø20</t>
  </si>
  <si>
    <t>Монтаж подводки воды к полотенце сушителю</t>
  </si>
  <si>
    <t>Монтаж распределит. коллектора водоснабжения</t>
  </si>
  <si>
    <t>Монтаж рециркуляции ГВС (до 5 точек)</t>
  </si>
  <si>
    <t>Монтаж точки водоснабжения</t>
  </si>
  <si>
    <t>Монтаж фильтра</t>
  </si>
  <si>
    <t>Монтаж частотного приобразователя</t>
  </si>
  <si>
    <t>Прокладка магистральных труб системы водоснабжения (полипропилен) до Ø32 мм</t>
  </si>
  <si>
    <t>Установка смесителя, гигиениеская и душевая система</t>
  </si>
  <si>
    <t>Скважина</t>
  </si>
  <si>
    <t>Бурение до 100 метров</t>
  </si>
  <si>
    <t>Бурение до 12 метров + фильтр + труба</t>
  </si>
  <si>
    <t>Бурение до 50 метров</t>
  </si>
  <si>
    <t>Бурение свыше100 метров</t>
  </si>
  <si>
    <t>Врезка в существующую систему</t>
  </si>
  <si>
    <t>Монтаж вывода на летний полив</t>
  </si>
  <si>
    <t>Монтаж гидроаккумулятора</t>
  </si>
  <si>
    <t>Монтаж греющего кабеля</t>
  </si>
  <si>
    <t>Монтаж и установка скважинного оголовка</t>
  </si>
  <si>
    <t>Монтаж системы автоматики</t>
  </si>
  <si>
    <t>Монтаж скважинного насоса</t>
  </si>
  <si>
    <t>Обвязка насосной станции или погружного насоса</t>
  </si>
  <si>
    <t>Обустройство кессона</t>
  </si>
  <si>
    <t>Пуско-наладочные работы, опрессовка системы</t>
  </si>
  <si>
    <t>Сверление отверстий</t>
  </si>
  <si>
    <t>Установка скваженного адаптера</t>
  </si>
  <si>
    <t>Разное</t>
  </si>
  <si>
    <t>Монтаж колонны водоочистки (1 шт.)</t>
  </si>
  <si>
    <t>Диагностика неисправности системы (осуществляется в случае отсутствия явных признаков неисправности)</t>
  </si>
  <si>
    <t>Выезд</t>
  </si>
  <si>
    <t>1 час</t>
  </si>
  <si>
    <t>Под видео</t>
  </si>
  <si>
    <t>Коментарии</t>
  </si>
  <si>
    <t>Сумма</t>
  </si>
  <si>
    <t>Время</t>
  </si>
  <si>
    <t>Работы</t>
  </si>
  <si>
    <t>Опрессовка+ ввод в эксплуатацию</t>
  </si>
  <si>
    <t>20 000 рублей</t>
  </si>
  <si>
    <t xml:space="preserve">5 000 рублей </t>
  </si>
  <si>
    <t>Пояснения</t>
  </si>
  <si>
    <t xml:space="preserve">Заказчик готовит список, уточняются все детали </t>
  </si>
  <si>
    <t>Проверяет все соединения, опрессовка и запуск с пояснениями работы оборудования.</t>
  </si>
  <si>
    <t>Если выезд за пределы города то ГСМ оплачивается отдельно.</t>
  </si>
  <si>
    <t>ИВОК</t>
  </si>
  <si>
    <t>Монтаж основной трубы водоснобжения </t>
  </si>
  <si>
    <t>Прокладка трубы до дома</t>
  </si>
  <si>
    <t>Обвязка водоподготовки</t>
  </si>
  <si>
    <t>Монтаж пеноплекса</t>
  </si>
  <si>
    <t xml:space="preserve">Установка, розетки или выключателя </t>
  </si>
  <si>
    <t>Сборка и установка накладного электрощита до 54 модулей</t>
  </si>
  <si>
    <t>Монтаж электрического котла свыше 30 кВт</t>
  </si>
  <si>
    <t>Монтаж точки водоснабжения ХВС и ГВС</t>
  </si>
  <si>
    <t>Монтаж водяного конвектора на высоте + обвязка</t>
  </si>
  <si>
    <t>Монтаж дымохода твердотопливного котла ( проход через стену, установка площадки, установка до 8 метров)</t>
  </si>
  <si>
    <t xml:space="preserve">Монтаж нестандартного радиатора, КОНВЕКТОРА в ПОЛ (чугунные радиаторы, дизайн радиат) </t>
  </si>
  <si>
    <t>Установка инсталяции</t>
  </si>
  <si>
    <t>Установка унитаза</t>
  </si>
  <si>
    <t>Штробление стен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</si>
</sst>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&quot;р.&quot;"/>
  </numFmts>
  <fonts count="14" x14ac:knownFonts="1">
    <font>
      <sz val="11"/>
      <color theme="1"/>
      <name val="Calibri"/>
      <family val="2"/>
      <charset val="1"/>
    </font>
    <font>
      <b/>
      <sz val="11"/>
      <color rgb="FF000000"/>
      <name val="Arial Unicode MS"/>
      <family val="2"/>
      <charset val="204"/>
    </font>
    <font>
      <b/>
      <sz val="14"/>
      <color rgb="FF000000"/>
      <name val="Arial Unicode MS"/>
      <family val="2"/>
      <charset val="204"/>
    </font>
    <font>
      <b/>
      <sz val="12"/>
      <color rgb="FF000000"/>
      <name val="Arial Unicode MS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8"/>
      <color theme="1"/>
      <name val="Calibri"/>
      <family val="2"/>
      <charset val="204"/>
    </font>
    <font>
      <sz val="9"/>
      <color theme="1"/>
      <name val="Calibri"/>
      <family val="2"/>
      <charset val="1"/>
    </font>
    <font>
      <b/>
      <sz val="11"/>
      <color rgb="FF000000"/>
      <name val="Arial"/>
      <family val="2"/>
      <charset val="204"/>
    </font>
    <font>
      <sz val="10"/>
      <color rgb="FF000000"/>
      <name val="Calibri"/>
      <family val="2"/>
      <charset val="204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rgb="FFD7E4BD"/>
      </patternFill>
    </fill>
    <fill>
      <patternFill patternType="solid">
        <fgColor theme="3" tint="0.79989013336588644"/>
        <bgColor rgb="FFDDD9C3"/>
      </patternFill>
    </fill>
    <fill>
      <patternFill patternType="solid">
        <fgColor theme="6" tint="0.59987182226020086"/>
        <bgColor rgb="FFDDD9C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0" fillId="3" borderId="0" xfId="0" applyFill="1"/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right"/>
    </xf>
    <xf numFmtId="0" fontId="6" fillId="3" borderId="0" xfId="0" applyFont="1" applyFill="1"/>
    <xf numFmtId="0" fontId="4" fillId="0" borderId="0" xfId="0" applyFont="1" applyAlignment="1">
      <alignment horizontal="center"/>
    </xf>
    <xf numFmtId="0" fontId="3" fillId="2" borderId="0" xfId="0" applyFont="1" applyFill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right"/>
    </xf>
    <xf numFmtId="0" fontId="0" fillId="3" borderId="0" xfId="0" applyFont="1" applyFill="1" applyAlignment="1">
      <alignment horizontal="center"/>
    </xf>
    <xf numFmtId="0" fontId="9" fillId="4" borderId="0" xfId="0" applyFont="1" applyFill="1"/>
    <xf numFmtId="0" fontId="10" fillId="4" borderId="0" xfId="0" applyFont="1" applyFill="1" applyAlignment="1">
      <alignment vertical="center"/>
    </xf>
    <xf numFmtId="0" fontId="0" fillId="4" borderId="0" xfId="0" applyFill="1"/>
    <xf numFmtId="0" fontId="6" fillId="4" borderId="0" xfId="0" applyFont="1" applyFill="1" applyAlignment="1">
      <alignment horizontal="center"/>
    </xf>
    <xf numFmtId="0" fontId="11" fillId="5" borderId="1" xfId="0" applyFont="1" applyFill="1" applyBorder="1"/>
    <xf numFmtId="0" fontId="12" fillId="5" borderId="1" xfId="0" applyFont="1" applyFill="1" applyBorder="1"/>
    <xf numFmtId="0" fontId="11" fillId="5" borderId="0" xfId="0" applyFont="1" applyFill="1" applyBorder="1"/>
    <xf numFmtId="0" fontId="11" fillId="0" borderId="0" xfId="0" applyFont="1"/>
    <xf numFmtId="0" fontId="12" fillId="5" borderId="1" xfId="0" applyFont="1" applyFill="1" applyBorder="1" applyAlignment="1">
      <alignment horizontal="center"/>
    </xf>
    <xf numFmtId="0" fontId="11" fillId="0" borderId="1" xfId="0" applyFont="1" applyBorder="1"/>
    <xf numFmtId="164" fontId="11" fillId="0" borderId="1" xfId="0" applyNumberFormat="1" applyFont="1" applyBorder="1"/>
    <xf numFmtId="164" fontId="11" fillId="0" borderId="0" xfId="0" applyNumberFormat="1" applyFont="1" applyBorder="1"/>
    <xf numFmtId="164" fontId="11" fillId="5" borderId="1" xfId="0" applyNumberFormat="1" applyFont="1" applyFill="1" applyBorder="1"/>
    <xf numFmtId="0" fontId="11" fillId="6" borderId="1" xfId="0" applyFont="1" applyFill="1" applyBorder="1"/>
    <xf numFmtId="0" fontId="13" fillId="5" borderId="1" xfId="0" applyFont="1" applyFill="1" applyBorder="1" applyAlignment="1">
      <alignment horizontal="center"/>
    </xf>
    <xf numFmtId="164" fontId="11" fillId="0" borderId="0" xfId="0" applyNumberFormat="1" applyFont="1"/>
    <xf numFmtId="0" fontId="0" fillId="7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7" borderId="1" xfId="0" applyFill="1" applyBorder="1"/>
    <xf numFmtId="0" fontId="0" fillId="8" borderId="0" xfId="0" applyFill="1"/>
    <xf numFmtId="3" fontId="1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"/>
  <sheetViews>
    <sheetView zoomScaleNormal="100" workbookViewId="0">
      <selection activeCell="D27" sqref="D27"/>
    </sheetView>
  </sheetViews>
  <sheetFormatPr defaultColWidth="8.7109375" defaultRowHeight="15" x14ac:dyDescent="0.25"/>
  <cols>
    <col min="1" max="1" width="4.42578125" customWidth="1"/>
    <col min="4" max="4" width="13.140625" customWidth="1"/>
    <col min="6" max="6" width="19.5703125" customWidth="1"/>
    <col min="7" max="7" width="7.28515625" customWidth="1"/>
    <col min="8" max="8" width="7.42578125" customWidth="1"/>
    <col min="9" max="9" width="6.85546875" customWidth="1"/>
    <col min="10" max="10" width="9.140625" customWidth="1"/>
  </cols>
  <sheetData>
    <row r="1" spans="1:10" ht="20.25" x14ac:dyDescent="0.35">
      <c r="B1" s="1" t="s">
        <v>0</v>
      </c>
      <c r="D1" s="1"/>
    </row>
    <row r="2" spans="1:10" x14ac:dyDescent="0.25">
      <c r="A2" t="s">
        <v>1</v>
      </c>
      <c r="B2" t="s">
        <v>2</v>
      </c>
      <c r="G2" t="s">
        <v>3</v>
      </c>
      <c r="H2" t="s">
        <v>4</v>
      </c>
      <c r="I2" t="s">
        <v>5</v>
      </c>
      <c r="J2" t="s">
        <v>6</v>
      </c>
    </row>
    <row r="3" spans="1:10" ht="17.25" x14ac:dyDescent="0.25">
      <c r="A3" s="3"/>
      <c r="B3" s="4"/>
      <c r="C3" s="4"/>
      <c r="D3" s="5" t="s">
        <v>7</v>
      </c>
      <c r="E3" s="4"/>
      <c r="F3" s="4"/>
      <c r="G3" s="4"/>
      <c r="H3" s="3"/>
      <c r="I3" s="3"/>
      <c r="J3" s="3"/>
    </row>
    <row r="4" spans="1:10" x14ac:dyDescent="0.25">
      <c r="A4" s="2">
        <v>1</v>
      </c>
      <c r="B4" s="6" t="s">
        <v>8</v>
      </c>
      <c r="C4" s="7"/>
      <c r="D4" s="7"/>
      <c r="G4" s="2" t="s">
        <v>9</v>
      </c>
      <c r="H4" s="2">
        <v>150</v>
      </c>
      <c r="I4" s="2"/>
      <c r="J4" s="2">
        <f t="shared" ref="J4:J28" si="0">I4*H4</f>
        <v>0</v>
      </c>
    </row>
    <row r="5" spans="1:10" x14ac:dyDescent="0.25">
      <c r="A5" s="2">
        <v>2</v>
      </c>
      <c r="B5" s="6" t="s">
        <v>10</v>
      </c>
      <c r="C5" s="7"/>
      <c r="D5" s="7"/>
      <c r="G5" s="2" t="s">
        <v>9</v>
      </c>
      <c r="H5" s="2">
        <v>400</v>
      </c>
      <c r="I5" s="2"/>
      <c r="J5" s="2">
        <f t="shared" si="0"/>
        <v>0</v>
      </c>
    </row>
    <row r="6" spans="1:10" x14ac:dyDescent="0.25">
      <c r="A6" s="2">
        <v>3</v>
      </c>
      <c r="B6" s="6" t="s">
        <v>11</v>
      </c>
      <c r="C6" s="7"/>
      <c r="D6" s="7"/>
      <c r="G6" s="2" t="s">
        <v>9</v>
      </c>
      <c r="H6" s="2">
        <v>250</v>
      </c>
      <c r="I6" s="2"/>
      <c r="J6" s="2">
        <f t="shared" si="0"/>
        <v>0</v>
      </c>
    </row>
    <row r="7" spans="1:10" x14ac:dyDescent="0.25">
      <c r="A7" s="2">
        <v>4</v>
      </c>
      <c r="B7" s="6" t="s">
        <v>12</v>
      </c>
      <c r="C7" s="7"/>
      <c r="D7" s="7"/>
      <c r="G7" s="2" t="s">
        <v>9</v>
      </c>
      <c r="H7" s="2">
        <v>500</v>
      </c>
      <c r="I7" s="2"/>
      <c r="J7" s="2">
        <f t="shared" si="0"/>
        <v>0</v>
      </c>
    </row>
    <row r="8" spans="1:10" x14ac:dyDescent="0.25">
      <c r="A8" s="2">
        <v>5</v>
      </c>
      <c r="B8" s="6" t="s">
        <v>13</v>
      </c>
      <c r="C8" s="7"/>
      <c r="D8" s="7"/>
      <c r="G8" s="2" t="s">
        <v>14</v>
      </c>
      <c r="H8" s="2">
        <v>250</v>
      </c>
      <c r="I8" s="2"/>
      <c r="J8" s="2">
        <f t="shared" si="0"/>
        <v>0</v>
      </c>
    </row>
    <row r="9" spans="1:10" x14ac:dyDescent="0.25">
      <c r="A9" s="2">
        <v>6</v>
      </c>
      <c r="B9" s="6" t="s">
        <v>15</v>
      </c>
      <c r="C9" s="7"/>
      <c r="D9" s="7"/>
      <c r="G9" s="2" t="s">
        <v>14</v>
      </c>
      <c r="H9" s="2">
        <v>350</v>
      </c>
      <c r="I9" s="2"/>
      <c r="J9" s="2">
        <f t="shared" si="0"/>
        <v>0</v>
      </c>
    </row>
    <row r="10" spans="1:10" x14ac:dyDescent="0.25">
      <c r="A10" s="2">
        <v>7</v>
      </c>
      <c r="B10" s="6" t="s">
        <v>16</v>
      </c>
      <c r="C10" s="7"/>
      <c r="D10" s="7"/>
      <c r="G10" s="2" t="s">
        <v>14</v>
      </c>
      <c r="H10" s="2">
        <v>200</v>
      </c>
      <c r="I10" s="2">
        <v>20</v>
      </c>
      <c r="J10" s="2">
        <f t="shared" si="0"/>
        <v>4000</v>
      </c>
    </row>
    <row r="11" spans="1:10" x14ac:dyDescent="0.25">
      <c r="A11" s="2">
        <v>8</v>
      </c>
      <c r="B11" s="6" t="s">
        <v>17</v>
      </c>
      <c r="C11" s="7"/>
      <c r="D11" s="7"/>
      <c r="G11" s="2" t="s">
        <v>14</v>
      </c>
      <c r="H11" s="2">
        <v>500</v>
      </c>
      <c r="I11" s="2"/>
      <c r="J11" s="2">
        <f t="shared" si="0"/>
        <v>0</v>
      </c>
    </row>
    <row r="12" spans="1:10" x14ac:dyDescent="0.25">
      <c r="A12" s="2">
        <v>9</v>
      </c>
      <c r="B12" s="6" t="s">
        <v>18</v>
      </c>
      <c r="C12" s="7"/>
      <c r="D12" s="7"/>
      <c r="G12" s="2" t="s">
        <v>9</v>
      </c>
      <c r="H12" s="2">
        <v>50</v>
      </c>
      <c r="I12" s="2"/>
      <c r="J12" s="2">
        <f t="shared" si="0"/>
        <v>0</v>
      </c>
    </row>
    <row r="13" spans="1:10" x14ac:dyDescent="0.25">
      <c r="A13" s="2">
        <v>10</v>
      </c>
      <c r="B13" s="6" t="s">
        <v>19</v>
      </c>
      <c r="C13" s="7"/>
      <c r="D13" s="7"/>
      <c r="G13" s="2" t="s">
        <v>9</v>
      </c>
      <c r="H13" s="2">
        <v>300</v>
      </c>
      <c r="I13" s="2">
        <v>0</v>
      </c>
      <c r="J13" s="2">
        <f t="shared" si="0"/>
        <v>0</v>
      </c>
    </row>
    <row r="14" spans="1:10" x14ac:dyDescent="0.25">
      <c r="A14" s="2">
        <v>11</v>
      </c>
      <c r="B14" s="6" t="s">
        <v>20</v>
      </c>
      <c r="C14" s="7"/>
      <c r="D14" s="7"/>
      <c r="G14" s="2" t="s">
        <v>9</v>
      </c>
      <c r="H14" s="2">
        <v>200</v>
      </c>
      <c r="I14" s="2"/>
      <c r="J14" s="2">
        <f t="shared" si="0"/>
        <v>0</v>
      </c>
    </row>
    <row r="15" spans="1:10" x14ac:dyDescent="0.25">
      <c r="A15" s="2">
        <v>12</v>
      </c>
      <c r="B15" s="6" t="s">
        <v>21</v>
      </c>
      <c r="C15" s="7"/>
      <c r="D15" s="7"/>
      <c r="G15" s="2" t="s">
        <v>9</v>
      </c>
      <c r="H15" s="2">
        <v>150</v>
      </c>
      <c r="I15" s="2"/>
      <c r="J15" s="2">
        <f t="shared" si="0"/>
        <v>0</v>
      </c>
    </row>
    <row r="16" spans="1:10" x14ac:dyDescent="0.25">
      <c r="A16" s="2">
        <v>13</v>
      </c>
      <c r="B16" s="6" t="s">
        <v>22</v>
      </c>
      <c r="C16" s="7"/>
      <c r="D16" s="7"/>
      <c r="G16" s="2" t="s">
        <v>9</v>
      </c>
      <c r="H16" s="2">
        <v>150</v>
      </c>
      <c r="I16" s="2"/>
      <c r="J16" s="2">
        <f t="shared" si="0"/>
        <v>0</v>
      </c>
    </row>
    <row r="17" spans="1:12" x14ac:dyDescent="0.25">
      <c r="A17" s="2">
        <v>14</v>
      </c>
      <c r="B17" s="6" t="s">
        <v>23</v>
      </c>
      <c r="C17" s="7"/>
      <c r="D17" s="7"/>
      <c r="G17" s="2" t="s">
        <v>9</v>
      </c>
      <c r="H17" s="2">
        <v>150</v>
      </c>
      <c r="I17" s="2"/>
      <c r="J17" s="2">
        <f t="shared" si="0"/>
        <v>0</v>
      </c>
    </row>
    <row r="18" spans="1:12" x14ac:dyDescent="0.25">
      <c r="A18" s="2">
        <v>15</v>
      </c>
      <c r="B18" s="6" t="s">
        <v>24</v>
      </c>
      <c r="C18" s="7"/>
      <c r="D18" s="7"/>
      <c r="G18" s="2" t="s">
        <v>9</v>
      </c>
      <c r="H18" s="2">
        <v>100</v>
      </c>
      <c r="I18" s="2">
        <v>100</v>
      </c>
      <c r="J18" s="2">
        <f t="shared" si="0"/>
        <v>10000</v>
      </c>
    </row>
    <row r="19" spans="1:12" x14ac:dyDescent="0.25">
      <c r="A19" s="2">
        <v>16</v>
      </c>
      <c r="B19" s="6" t="s">
        <v>25</v>
      </c>
      <c r="C19" s="7"/>
      <c r="D19" s="7"/>
      <c r="G19" s="2" t="s">
        <v>9</v>
      </c>
      <c r="H19" s="2">
        <v>150</v>
      </c>
      <c r="I19" s="2"/>
      <c r="J19" s="2">
        <f t="shared" si="0"/>
        <v>0</v>
      </c>
    </row>
    <row r="20" spans="1:12" x14ac:dyDescent="0.25">
      <c r="A20" s="2">
        <v>17</v>
      </c>
      <c r="B20" s="6" t="s">
        <v>26</v>
      </c>
      <c r="C20" s="7"/>
      <c r="D20" s="7"/>
      <c r="G20" s="2" t="s">
        <v>9</v>
      </c>
      <c r="H20" s="2">
        <v>150</v>
      </c>
      <c r="I20" s="2"/>
      <c r="J20" s="2">
        <f t="shared" si="0"/>
        <v>0</v>
      </c>
    </row>
    <row r="21" spans="1:12" x14ac:dyDescent="0.25">
      <c r="A21" s="2">
        <v>18</v>
      </c>
      <c r="B21" s="6" t="s">
        <v>27</v>
      </c>
      <c r="C21" s="7"/>
      <c r="D21" s="7"/>
      <c r="G21" s="2" t="s">
        <v>9</v>
      </c>
      <c r="H21" s="2">
        <v>150</v>
      </c>
      <c r="I21" s="2"/>
      <c r="J21" s="2">
        <f t="shared" si="0"/>
        <v>0</v>
      </c>
    </row>
    <row r="22" spans="1:12" x14ac:dyDescent="0.25">
      <c r="A22" s="2">
        <v>19</v>
      </c>
      <c r="B22" s="6" t="s">
        <v>28</v>
      </c>
      <c r="C22" s="7"/>
      <c r="D22" s="7"/>
      <c r="G22" s="2" t="s">
        <v>9</v>
      </c>
      <c r="H22" s="2">
        <v>150</v>
      </c>
      <c r="I22" s="2"/>
      <c r="J22" s="2">
        <f t="shared" si="0"/>
        <v>0</v>
      </c>
    </row>
    <row r="23" spans="1:12" x14ac:dyDescent="0.25">
      <c r="A23" s="2">
        <v>20</v>
      </c>
      <c r="B23" s="6" t="s">
        <v>29</v>
      </c>
      <c r="C23" s="7"/>
      <c r="D23" s="7"/>
      <c r="G23" s="2" t="s">
        <v>9</v>
      </c>
      <c r="H23" s="2">
        <v>150</v>
      </c>
      <c r="I23" s="2"/>
      <c r="J23" s="2">
        <f t="shared" si="0"/>
        <v>0</v>
      </c>
      <c r="L23" s="2"/>
    </row>
    <row r="24" spans="1:12" x14ac:dyDescent="0.25">
      <c r="A24" s="2">
        <v>21</v>
      </c>
      <c r="B24" s="6" t="s">
        <v>30</v>
      </c>
      <c r="C24" s="7"/>
      <c r="D24" s="7"/>
      <c r="G24" s="2" t="s">
        <v>9</v>
      </c>
      <c r="H24" s="2">
        <v>150</v>
      </c>
      <c r="I24" s="2"/>
      <c r="J24" s="2">
        <f t="shared" si="0"/>
        <v>0</v>
      </c>
      <c r="L24" s="2"/>
    </row>
    <row r="25" spans="1:12" x14ac:dyDescent="0.25">
      <c r="A25" s="2">
        <v>22</v>
      </c>
      <c r="B25" s="6" t="s">
        <v>31</v>
      </c>
      <c r="C25" s="7"/>
      <c r="D25" s="7"/>
      <c r="G25" s="2" t="s">
        <v>9</v>
      </c>
      <c r="H25" s="2">
        <v>250</v>
      </c>
      <c r="I25" s="2"/>
      <c r="J25" s="2">
        <f t="shared" si="0"/>
        <v>0</v>
      </c>
      <c r="L25" s="2"/>
    </row>
    <row r="26" spans="1:12" x14ac:dyDescent="0.25">
      <c r="A26" s="2">
        <v>23</v>
      </c>
      <c r="B26" s="6" t="s">
        <v>32</v>
      </c>
      <c r="C26" s="7"/>
      <c r="D26" s="7"/>
      <c r="G26" s="2" t="s">
        <v>9</v>
      </c>
      <c r="H26" s="2">
        <v>300</v>
      </c>
      <c r="I26" s="2"/>
      <c r="J26" s="2">
        <f t="shared" si="0"/>
        <v>0</v>
      </c>
      <c r="L26" s="2"/>
    </row>
    <row r="27" spans="1:12" x14ac:dyDescent="0.25">
      <c r="A27" s="2">
        <v>24</v>
      </c>
      <c r="B27" s="6" t="s">
        <v>33</v>
      </c>
      <c r="C27" s="7"/>
      <c r="D27" s="7"/>
      <c r="G27" s="2" t="s">
        <v>9</v>
      </c>
      <c r="H27" s="2">
        <v>350</v>
      </c>
      <c r="I27" s="2">
        <v>40</v>
      </c>
      <c r="J27" s="2">
        <f t="shared" si="0"/>
        <v>14000</v>
      </c>
      <c r="L27" s="2"/>
    </row>
    <row r="28" spans="1:12" x14ac:dyDescent="0.25">
      <c r="A28" s="2">
        <v>25</v>
      </c>
      <c r="B28" s="6" t="s">
        <v>34</v>
      </c>
      <c r="C28" s="7"/>
      <c r="D28" s="7"/>
      <c r="G28" s="2" t="s">
        <v>9</v>
      </c>
      <c r="H28" s="2">
        <v>300</v>
      </c>
      <c r="I28" s="2"/>
      <c r="J28" s="2">
        <f t="shared" si="0"/>
        <v>0</v>
      </c>
    </row>
    <row r="29" spans="1:12" x14ac:dyDescent="0.25">
      <c r="A29" s="8"/>
      <c r="B29" s="9" t="s">
        <v>35</v>
      </c>
      <c r="C29" s="10" t="s">
        <v>36</v>
      </c>
      <c r="D29" s="8"/>
      <c r="E29" s="11">
        <f>SUM(J4:J28)</f>
        <v>28000</v>
      </c>
      <c r="F29" s="10" t="s">
        <v>37</v>
      </c>
    </row>
    <row r="31" spans="1:12" ht="17.25" x14ac:dyDescent="0.25">
      <c r="A31" s="4"/>
      <c r="B31" s="4"/>
      <c r="C31" s="4"/>
      <c r="D31" s="5" t="s">
        <v>38</v>
      </c>
      <c r="E31" s="4"/>
      <c r="F31" s="4"/>
      <c r="G31" s="4"/>
      <c r="H31" s="4"/>
      <c r="I31" s="4"/>
      <c r="J31" s="3"/>
    </row>
    <row r="32" spans="1:12" x14ac:dyDescent="0.25">
      <c r="A32" s="2">
        <v>1</v>
      </c>
      <c r="B32" s="6" t="s">
        <v>39</v>
      </c>
      <c r="C32" s="7"/>
      <c r="D32" s="7"/>
      <c r="G32" s="2" t="s">
        <v>40</v>
      </c>
      <c r="H32" s="2">
        <v>700</v>
      </c>
      <c r="I32" s="2"/>
      <c r="J32" s="2">
        <f t="shared" ref="J32:J48" si="1">I32*H32</f>
        <v>0</v>
      </c>
    </row>
    <row r="33" spans="1:10" x14ac:dyDescent="0.25">
      <c r="A33" s="2">
        <v>2</v>
      </c>
      <c r="B33" s="6" t="s">
        <v>41</v>
      </c>
      <c r="C33" s="7"/>
      <c r="D33" s="7"/>
      <c r="G33" s="2" t="s">
        <v>40</v>
      </c>
      <c r="H33" s="2">
        <v>300</v>
      </c>
      <c r="I33" s="2">
        <v>20</v>
      </c>
      <c r="J33" s="2">
        <f t="shared" si="1"/>
        <v>6000</v>
      </c>
    </row>
    <row r="34" spans="1:10" x14ac:dyDescent="0.25">
      <c r="A34" s="2">
        <v>3</v>
      </c>
      <c r="B34" s="6" t="s">
        <v>42</v>
      </c>
      <c r="C34" s="7"/>
      <c r="D34" s="7"/>
      <c r="G34" s="2" t="s">
        <v>40</v>
      </c>
      <c r="H34" s="2">
        <v>300</v>
      </c>
      <c r="I34" s="2">
        <v>4</v>
      </c>
      <c r="J34" s="2">
        <f t="shared" si="1"/>
        <v>1200</v>
      </c>
    </row>
    <row r="35" spans="1:10" x14ac:dyDescent="0.25">
      <c r="A35" s="2">
        <v>4</v>
      </c>
      <c r="B35" s="6" t="s">
        <v>43</v>
      </c>
      <c r="C35" s="7"/>
      <c r="D35" s="7"/>
      <c r="G35" s="2" t="s">
        <v>40</v>
      </c>
      <c r="H35" s="2">
        <v>500</v>
      </c>
      <c r="I35" s="2"/>
      <c r="J35" s="2">
        <f t="shared" si="1"/>
        <v>0</v>
      </c>
    </row>
    <row r="36" spans="1:10" x14ac:dyDescent="0.25">
      <c r="A36" s="2">
        <v>5</v>
      </c>
      <c r="B36" s="6" t="s">
        <v>44</v>
      </c>
      <c r="C36" s="7"/>
      <c r="D36" s="7"/>
      <c r="G36" s="2" t="s">
        <v>40</v>
      </c>
      <c r="H36" s="2">
        <v>900</v>
      </c>
      <c r="I36" s="2"/>
      <c r="J36" s="2">
        <f t="shared" si="1"/>
        <v>0</v>
      </c>
    </row>
    <row r="37" spans="1:10" x14ac:dyDescent="0.25">
      <c r="A37" s="2">
        <v>6</v>
      </c>
      <c r="B37" s="6" t="s">
        <v>45</v>
      </c>
      <c r="C37" s="7"/>
      <c r="D37" s="7"/>
      <c r="G37" s="2" t="s">
        <v>14</v>
      </c>
      <c r="H37" s="2">
        <v>1500</v>
      </c>
      <c r="I37" s="2">
        <v>4</v>
      </c>
      <c r="J37" s="2">
        <f t="shared" si="1"/>
        <v>6000</v>
      </c>
    </row>
    <row r="38" spans="1:10" x14ac:dyDescent="0.25">
      <c r="A38" s="2">
        <v>7</v>
      </c>
      <c r="B38" s="6" t="s">
        <v>207</v>
      </c>
      <c r="C38" s="7"/>
      <c r="D38" s="7"/>
      <c r="G38" s="2" t="s">
        <v>14</v>
      </c>
      <c r="H38" s="2">
        <v>600</v>
      </c>
      <c r="I38" s="2">
        <v>10</v>
      </c>
      <c r="J38" s="2">
        <f t="shared" si="1"/>
        <v>6000</v>
      </c>
    </row>
    <row r="39" spans="1:10" x14ac:dyDescent="0.25">
      <c r="A39" s="2">
        <v>8</v>
      </c>
      <c r="B39" s="6" t="s">
        <v>47</v>
      </c>
      <c r="C39" s="7"/>
      <c r="D39" s="7"/>
      <c r="G39" s="2" t="s">
        <v>14</v>
      </c>
      <c r="H39" s="2">
        <v>900</v>
      </c>
      <c r="I39" s="2"/>
      <c r="J39" s="2">
        <f t="shared" si="1"/>
        <v>0</v>
      </c>
    </row>
    <row r="40" spans="1:10" x14ac:dyDescent="0.25">
      <c r="A40" s="2">
        <v>9</v>
      </c>
      <c r="B40" s="6" t="s">
        <v>48</v>
      </c>
      <c r="C40" s="7"/>
      <c r="D40" s="7"/>
      <c r="G40" s="2" t="s">
        <v>14</v>
      </c>
      <c r="H40" s="2">
        <v>800</v>
      </c>
      <c r="I40" s="2"/>
      <c r="J40" s="2">
        <f t="shared" si="1"/>
        <v>0</v>
      </c>
    </row>
    <row r="41" spans="1:10" x14ac:dyDescent="0.25">
      <c r="A41" s="2">
        <v>10</v>
      </c>
      <c r="B41" s="6" t="s">
        <v>49</v>
      </c>
      <c r="C41" s="7"/>
      <c r="D41" s="7"/>
      <c r="G41" s="2" t="s">
        <v>14</v>
      </c>
      <c r="H41" s="2">
        <v>800</v>
      </c>
      <c r="I41" s="2"/>
      <c r="J41" s="2">
        <f t="shared" si="1"/>
        <v>0</v>
      </c>
    </row>
    <row r="42" spans="1:10" x14ac:dyDescent="0.25">
      <c r="A42" s="2">
        <v>11</v>
      </c>
      <c r="B42" s="6" t="s">
        <v>50</v>
      </c>
      <c r="C42" s="7"/>
      <c r="D42" s="7"/>
      <c r="G42" s="2" t="s">
        <v>14</v>
      </c>
      <c r="H42" s="2">
        <v>1200</v>
      </c>
      <c r="I42" s="2"/>
      <c r="J42" s="2">
        <f t="shared" si="1"/>
        <v>0</v>
      </c>
    </row>
    <row r="43" spans="1:10" x14ac:dyDescent="0.25">
      <c r="A43" s="2">
        <v>12</v>
      </c>
      <c r="B43" s="6" t="s">
        <v>51</v>
      </c>
      <c r="C43" s="7"/>
      <c r="D43" s="7"/>
      <c r="G43" s="2" t="s">
        <v>14</v>
      </c>
      <c r="H43" s="2">
        <v>1500</v>
      </c>
      <c r="I43" s="2"/>
      <c r="J43" s="2">
        <f t="shared" si="1"/>
        <v>0</v>
      </c>
    </row>
    <row r="44" spans="1:10" x14ac:dyDescent="0.25">
      <c r="A44" s="2">
        <v>13</v>
      </c>
      <c r="B44" s="6" t="s">
        <v>52</v>
      </c>
      <c r="C44" s="7"/>
      <c r="D44" s="7"/>
      <c r="G44" s="2" t="s">
        <v>14</v>
      </c>
      <c r="H44" s="2">
        <v>1500</v>
      </c>
      <c r="I44" s="2"/>
      <c r="J44" s="2">
        <f t="shared" si="1"/>
        <v>0</v>
      </c>
    </row>
    <row r="45" spans="1:10" x14ac:dyDescent="0.25">
      <c r="A45" s="2">
        <v>14</v>
      </c>
      <c r="B45" s="6" t="s">
        <v>53</v>
      </c>
      <c r="C45" s="7"/>
      <c r="D45" s="7"/>
      <c r="G45" s="2" t="s">
        <v>14</v>
      </c>
      <c r="H45" s="2">
        <v>2000</v>
      </c>
      <c r="I45" s="2"/>
      <c r="J45" s="2">
        <f t="shared" si="1"/>
        <v>0</v>
      </c>
    </row>
    <row r="46" spans="1:10" x14ac:dyDescent="0.25">
      <c r="A46" s="2">
        <v>15</v>
      </c>
      <c r="B46" s="6" t="s">
        <v>54</v>
      </c>
      <c r="C46" s="7"/>
      <c r="D46" s="7"/>
      <c r="G46" s="2" t="s">
        <v>14</v>
      </c>
      <c r="H46" s="2">
        <v>1500</v>
      </c>
      <c r="I46" s="2"/>
      <c r="J46" s="2">
        <f t="shared" si="1"/>
        <v>0</v>
      </c>
    </row>
    <row r="47" spans="1:10" x14ac:dyDescent="0.25">
      <c r="A47" s="2">
        <v>16</v>
      </c>
      <c r="B47" s="6" t="s">
        <v>55</v>
      </c>
      <c r="C47" s="7"/>
      <c r="D47" s="7"/>
      <c r="G47" s="2" t="s">
        <v>14</v>
      </c>
      <c r="H47" s="2">
        <v>2000</v>
      </c>
      <c r="I47" s="2"/>
      <c r="J47" s="2">
        <f t="shared" si="1"/>
        <v>0</v>
      </c>
    </row>
    <row r="48" spans="1:10" x14ac:dyDescent="0.25">
      <c r="A48" s="2">
        <v>17</v>
      </c>
      <c r="B48" s="6"/>
      <c r="C48" s="7"/>
      <c r="D48" s="7"/>
      <c r="G48" s="2" t="s">
        <v>14</v>
      </c>
      <c r="H48" s="2">
        <v>0</v>
      </c>
      <c r="I48" s="2"/>
      <c r="J48" s="2">
        <f t="shared" si="1"/>
        <v>0</v>
      </c>
    </row>
    <row r="49" spans="1:10" x14ac:dyDescent="0.25">
      <c r="A49" s="8"/>
      <c r="B49" s="9" t="s">
        <v>35</v>
      </c>
      <c r="C49" s="10" t="s">
        <v>56</v>
      </c>
      <c r="D49" s="8"/>
      <c r="E49" s="11">
        <f>SUM(J32:J48)</f>
        <v>19200</v>
      </c>
      <c r="F49" s="10" t="s">
        <v>37</v>
      </c>
    </row>
    <row r="51" spans="1:10" ht="17.25" x14ac:dyDescent="0.25">
      <c r="A51" s="3"/>
      <c r="B51" s="4"/>
      <c r="C51" s="4"/>
      <c r="D51" s="5" t="s">
        <v>57</v>
      </c>
      <c r="E51" s="4"/>
      <c r="F51" s="4"/>
      <c r="G51" s="4"/>
      <c r="H51" s="4"/>
      <c r="I51" s="4"/>
      <c r="J51" s="3"/>
    </row>
    <row r="52" spans="1:10" x14ac:dyDescent="0.25">
      <c r="A52" s="2">
        <v>1</v>
      </c>
      <c r="B52" s="6" t="s">
        <v>208</v>
      </c>
      <c r="C52" s="7"/>
      <c r="D52" s="7"/>
      <c r="G52" s="2" t="s">
        <v>46</v>
      </c>
      <c r="H52" s="2">
        <v>20000</v>
      </c>
      <c r="I52" s="2">
        <v>1</v>
      </c>
      <c r="J52" s="2">
        <f t="shared" ref="J52:J68" si="2">I52*H52</f>
        <v>20000</v>
      </c>
    </row>
    <row r="53" spans="1:10" x14ac:dyDescent="0.25">
      <c r="A53" s="2">
        <v>2</v>
      </c>
      <c r="B53" s="6" t="s">
        <v>58</v>
      </c>
      <c r="C53" s="7"/>
      <c r="D53" s="7"/>
      <c r="G53" s="2" t="s">
        <v>46</v>
      </c>
      <c r="H53" s="2">
        <v>25000</v>
      </c>
      <c r="I53" s="2"/>
      <c r="J53" s="2">
        <f t="shared" si="2"/>
        <v>0</v>
      </c>
    </row>
    <row r="54" spans="1:10" x14ac:dyDescent="0.25">
      <c r="A54" s="2">
        <v>3</v>
      </c>
      <c r="B54" t="s">
        <v>59</v>
      </c>
      <c r="C54" s="7"/>
      <c r="D54" s="7"/>
      <c r="G54" s="2" t="s">
        <v>46</v>
      </c>
      <c r="H54" s="2">
        <v>15000</v>
      </c>
      <c r="I54" s="2"/>
      <c r="J54" s="2">
        <f t="shared" si="2"/>
        <v>0</v>
      </c>
    </row>
    <row r="55" spans="1:10" x14ac:dyDescent="0.25">
      <c r="A55" s="2">
        <v>4</v>
      </c>
      <c r="B55" s="6" t="s">
        <v>60</v>
      </c>
      <c r="C55" s="7"/>
      <c r="D55" s="7"/>
      <c r="G55" s="2" t="s">
        <v>14</v>
      </c>
      <c r="H55" s="2">
        <v>500</v>
      </c>
      <c r="I55" s="2">
        <v>6</v>
      </c>
      <c r="J55" s="2">
        <f t="shared" si="2"/>
        <v>3000</v>
      </c>
    </row>
    <row r="56" spans="1:10" x14ac:dyDescent="0.25">
      <c r="A56" s="2">
        <v>5</v>
      </c>
      <c r="B56" s="6" t="s">
        <v>61</v>
      </c>
      <c r="C56" s="7"/>
      <c r="D56" s="7"/>
      <c r="G56" s="2" t="s">
        <v>14</v>
      </c>
      <c r="H56" s="2">
        <v>1000</v>
      </c>
      <c r="I56" s="2">
        <v>3</v>
      </c>
      <c r="J56" s="2">
        <f t="shared" si="2"/>
        <v>3000</v>
      </c>
    </row>
    <row r="57" spans="1:10" x14ac:dyDescent="0.25">
      <c r="A57" s="2">
        <v>6</v>
      </c>
      <c r="B57" s="6" t="s">
        <v>62</v>
      </c>
      <c r="C57" s="7"/>
      <c r="D57" s="7"/>
      <c r="G57" s="2" t="s">
        <v>14</v>
      </c>
      <c r="H57" s="2">
        <v>1200</v>
      </c>
      <c r="I57" s="2"/>
      <c r="J57" s="2">
        <f t="shared" si="2"/>
        <v>0</v>
      </c>
    </row>
    <row r="58" spans="1:10" x14ac:dyDescent="0.25">
      <c r="A58" s="2">
        <v>7</v>
      </c>
      <c r="B58" s="6" t="s">
        <v>63</v>
      </c>
      <c r="C58" s="7"/>
      <c r="D58" s="7"/>
      <c r="G58" s="2" t="s">
        <v>14</v>
      </c>
      <c r="H58" s="2">
        <v>1200</v>
      </c>
      <c r="I58" s="2"/>
      <c r="J58" s="2">
        <f t="shared" si="2"/>
        <v>0</v>
      </c>
    </row>
    <row r="59" spans="1:10" x14ac:dyDescent="0.25">
      <c r="A59" s="2">
        <v>8</v>
      </c>
      <c r="B59" s="6" t="s">
        <v>64</v>
      </c>
      <c r="C59" s="7"/>
      <c r="D59" s="7"/>
      <c r="G59" s="2" t="s">
        <v>14</v>
      </c>
      <c r="H59" s="2">
        <v>1000</v>
      </c>
      <c r="I59" s="2"/>
      <c r="J59" s="2">
        <f t="shared" si="2"/>
        <v>0</v>
      </c>
    </row>
    <row r="60" spans="1:10" x14ac:dyDescent="0.25">
      <c r="A60" s="2">
        <v>9</v>
      </c>
      <c r="B60" s="6" t="s">
        <v>65</v>
      </c>
      <c r="C60" s="7"/>
      <c r="D60" s="7"/>
      <c r="G60" s="2" t="s">
        <v>14</v>
      </c>
      <c r="H60" s="2">
        <v>1500</v>
      </c>
      <c r="I60" s="2">
        <v>2</v>
      </c>
      <c r="J60" s="2">
        <f t="shared" si="2"/>
        <v>3000</v>
      </c>
    </row>
    <row r="61" spans="1:10" x14ac:dyDescent="0.25">
      <c r="A61" s="2">
        <v>10</v>
      </c>
      <c r="B61" s="6" t="s">
        <v>66</v>
      </c>
      <c r="C61" s="7"/>
      <c r="D61" s="7"/>
      <c r="G61" s="2" t="s">
        <v>46</v>
      </c>
      <c r="H61" s="2">
        <v>5000</v>
      </c>
      <c r="I61" s="2"/>
      <c r="J61" s="2">
        <f t="shared" si="2"/>
        <v>0</v>
      </c>
    </row>
    <row r="62" spans="1:10" x14ac:dyDescent="0.25">
      <c r="A62" s="2">
        <v>11</v>
      </c>
      <c r="B62" s="6" t="s">
        <v>67</v>
      </c>
      <c r="C62" s="7"/>
      <c r="D62" s="7"/>
      <c r="G62" s="2" t="s">
        <v>14</v>
      </c>
      <c r="H62" s="2">
        <v>3000</v>
      </c>
      <c r="I62" s="2"/>
      <c r="J62" s="2">
        <f t="shared" si="2"/>
        <v>0</v>
      </c>
    </row>
    <row r="63" spans="1:10" x14ac:dyDescent="0.25">
      <c r="A63" s="2">
        <v>12</v>
      </c>
      <c r="B63" s="6" t="s">
        <v>68</v>
      </c>
      <c r="C63" s="7"/>
      <c r="D63" s="7"/>
      <c r="G63" s="2" t="s">
        <v>46</v>
      </c>
      <c r="H63" s="2">
        <v>13000</v>
      </c>
      <c r="I63" s="2"/>
      <c r="J63" s="2">
        <f t="shared" si="2"/>
        <v>0</v>
      </c>
    </row>
    <row r="64" spans="1:10" x14ac:dyDescent="0.25">
      <c r="A64" s="2">
        <v>13</v>
      </c>
      <c r="B64" s="6" t="s">
        <v>69</v>
      </c>
      <c r="C64" s="7"/>
      <c r="D64" s="7"/>
      <c r="G64" s="2" t="s">
        <v>14</v>
      </c>
      <c r="H64" s="2">
        <v>500</v>
      </c>
      <c r="I64" s="2"/>
      <c r="J64" s="2">
        <f t="shared" si="2"/>
        <v>0</v>
      </c>
    </row>
    <row r="65" spans="1:10" x14ac:dyDescent="0.25">
      <c r="A65" s="2">
        <v>14</v>
      </c>
      <c r="B65" s="6" t="s">
        <v>70</v>
      </c>
      <c r="C65" s="7"/>
      <c r="D65" s="7"/>
      <c r="G65" s="2" t="s">
        <v>14</v>
      </c>
      <c r="H65" s="2">
        <v>2500</v>
      </c>
      <c r="I65" s="2"/>
      <c r="J65" s="2">
        <f t="shared" si="2"/>
        <v>0</v>
      </c>
    </row>
    <row r="66" spans="1:10" x14ac:dyDescent="0.25">
      <c r="A66" s="2">
        <v>15</v>
      </c>
      <c r="B66" s="6" t="s">
        <v>71</v>
      </c>
      <c r="C66" s="7"/>
      <c r="D66" s="7"/>
      <c r="G66" s="2" t="s">
        <v>14</v>
      </c>
      <c r="H66" s="2">
        <v>3500</v>
      </c>
      <c r="I66" s="2"/>
      <c r="J66" s="2">
        <f t="shared" si="2"/>
        <v>0</v>
      </c>
    </row>
    <row r="67" spans="1:10" x14ac:dyDescent="0.25">
      <c r="A67" s="2">
        <v>16</v>
      </c>
      <c r="G67" s="2" t="s">
        <v>14</v>
      </c>
      <c r="H67" s="2">
        <v>0</v>
      </c>
      <c r="I67" s="2"/>
      <c r="J67" s="2">
        <f t="shared" si="2"/>
        <v>0</v>
      </c>
    </row>
    <row r="68" spans="1:10" x14ac:dyDescent="0.25">
      <c r="A68" s="2">
        <v>17</v>
      </c>
      <c r="B68" s="6"/>
      <c r="C68" s="7"/>
      <c r="D68" s="7"/>
      <c r="G68" s="2" t="s">
        <v>14</v>
      </c>
      <c r="H68" s="2">
        <v>0</v>
      </c>
      <c r="I68" s="2"/>
      <c r="J68" s="2">
        <f t="shared" si="2"/>
        <v>0</v>
      </c>
    </row>
    <row r="69" spans="1:10" x14ac:dyDescent="0.25">
      <c r="A69" s="8"/>
      <c r="B69" s="9" t="s">
        <v>35</v>
      </c>
      <c r="C69" s="10" t="s">
        <v>72</v>
      </c>
      <c r="D69" s="8"/>
      <c r="E69" s="12">
        <f>SUM(J52:J68)</f>
        <v>29000</v>
      </c>
      <c r="F69" s="10" t="s">
        <v>37</v>
      </c>
    </row>
    <row r="71" spans="1:10" ht="17.25" x14ac:dyDescent="0.25">
      <c r="A71" s="4"/>
      <c r="B71" s="4"/>
      <c r="C71" s="4"/>
      <c r="D71" s="5" t="s">
        <v>73</v>
      </c>
      <c r="E71" s="4"/>
      <c r="F71" s="4"/>
      <c r="G71" s="4"/>
      <c r="H71" s="4"/>
      <c r="I71" s="4"/>
      <c r="J71" s="3"/>
    </row>
    <row r="72" spans="1:10" x14ac:dyDescent="0.25">
      <c r="A72" s="2">
        <v>1</v>
      </c>
      <c r="B72" s="7" t="s">
        <v>74</v>
      </c>
      <c r="C72" s="7"/>
      <c r="D72" s="7"/>
      <c r="G72" s="2" t="s">
        <v>14</v>
      </c>
      <c r="H72" s="2">
        <v>3000</v>
      </c>
      <c r="I72" s="2"/>
      <c r="J72" s="2">
        <f t="shared" ref="J72:J93" si="3">I72*H72</f>
        <v>0</v>
      </c>
    </row>
    <row r="73" spans="1:10" x14ac:dyDescent="0.25">
      <c r="A73" s="2">
        <v>2</v>
      </c>
      <c r="B73" s="7" t="s">
        <v>75</v>
      </c>
      <c r="C73" s="7"/>
      <c r="D73" s="7"/>
      <c r="G73" s="2" t="s">
        <v>14</v>
      </c>
      <c r="H73" s="13">
        <v>4000</v>
      </c>
      <c r="I73" s="2"/>
      <c r="J73" s="2">
        <f t="shared" si="3"/>
        <v>0</v>
      </c>
    </row>
    <row r="74" spans="1:10" x14ac:dyDescent="0.25">
      <c r="A74" s="2">
        <v>3</v>
      </c>
      <c r="B74" s="7" t="s">
        <v>76</v>
      </c>
      <c r="C74" s="7"/>
      <c r="D74" s="7"/>
      <c r="G74" s="2" t="s">
        <v>9</v>
      </c>
      <c r="H74" s="2">
        <v>500</v>
      </c>
      <c r="I74" s="2"/>
      <c r="J74" s="2">
        <f t="shared" si="3"/>
        <v>0</v>
      </c>
    </row>
    <row r="75" spans="1:10" x14ac:dyDescent="0.25">
      <c r="A75" s="2">
        <v>4</v>
      </c>
      <c r="B75" s="7" t="s">
        <v>77</v>
      </c>
      <c r="C75" s="7"/>
      <c r="D75" s="7"/>
      <c r="G75" s="2" t="s">
        <v>78</v>
      </c>
      <c r="H75" s="2">
        <v>2500</v>
      </c>
      <c r="I75" s="2"/>
      <c r="J75" s="2">
        <f t="shared" si="3"/>
        <v>0</v>
      </c>
    </row>
    <row r="76" spans="1:10" x14ac:dyDescent="0.25">
      <c r="A76" s="2">
        <v>5</v>
      </c>
      <c r="B76" s="7" t="s">
        <v>79</v>
      </c>
      <c r="C76" s="7"/>
      <c r="D76" s="7"/>
      <c r="G76" s="2" t="s">
        <v>14</v>
      </c>
      <c r="H76" s="2">
        <v>1500</v>
      </c>
      <c r="I76" s="2"/>
      <c r="J76" s="2">
        <f t="shared" si="3"/>
        <v>0</v>
      </c>
    </row>
    <row r="77" spans="1:10" x14ac:dyDescent="0.25">
      <c r="A77" s="2">
        <v>6</v>
      </c>
      <c r="B77" s="7" t="s">
        <v>80</v>
      </c>
      <c r="C77" s="7"/>
      <c r="D77" s="7"/>
      <c r="G77" s="2" t="s">
        <v>14</v>
      </c>
      <c r="H77" s="2">
        <v>500</v>
      </c>
      <c r="I77" s="2"/>
      <c r="J77" s="2">
        <f t="shared" si="3"/>
        <v>0</v>
      </c>
    </row>
    <row r="78" spans="1:10" x14ac:dyDescent="0.25">
      <c r="A78" s="2">
        <v>7</v>
      </c>
      <c r="B78" s="7" t="s">
        <v>81</v>
      </c>
      <c r="C78" s="7"/>
      <c r="D78" s="7"/>
      <c r="G78" s="2" t="s">
        <v>14</v>
      </c>
      <c r="H78" s="2">
        <v>700</v>
      </c>
      <c r="I78" s="2"/>
      <c r="J78" s="2">
        <f t="shared" si="3"/>
        <v>0</v>
      </c>
    </row>
    <row r="79" spans="1:10" x14ac:dyDescent="0.25">
      <c r="A79" s="2">
        <v>8</v>
      </c>
      <c r="B79" s="7" t="s">
        <v>82</v>
      </c>
      <c r="C79" s="7"/>
      <c r="D79" s="7"/>
      <c r="G79" s="2" t="s">
        <v>14</v>
      </c>
      <c r="H79" s="2">
        <v>1500</v>
      </c>
      <c r="I79" s="2"/>
      <c r="J79" s="2">
        <f t="shared" si="3"/>
        <v>0</v>
      </c>
    </row>
    <row r="80" spans="1:10" x14ac:dyDescent="0.25">
      <c r="A80" s="2">
        <v>9</v>
      </c>
      <c r="B80" s="7" t="s">
        <v>83</v>
      </c>
      <c r="C80" s="7"/>
      <c r="D80" s="7"/>
      <c r="G80" s="2" t="s">
        <v>14</v>
      </c>
      <c r="H80" s="2">
        <v>5000</v>
      </c>
      <c r="I80" s="2"/>
      <c r="J80" s="2">
        <f t="shared" si="3"/>
        <v>0</v>
      </c>
    </row>
    <row r="81" spans="1:10" x14ac:dyDescent="0.25">
      <c r="A81" s="2">
        <v>10</v>
      </c>
      <c r="B81" s="7" t="s">
        <v>84</v>
      </c>
      <c r="C81" s="7"/>
      <c r="D81" s="7"/>
      <c r="G81" s="2" t="s">
        <v>14</v>
      </c>
      <c r="H81" s="2">
        <v>3000</v>
      </c>
      <c r="I81" s="2"/>
      <c r="J81" s="2">
        <f t="shared" si="3"/>
        <v>0</v>
      </c>
    </row>
    <row r="82" spans="1:10" x14ac:dyDescent="0.25">
      <c r="A82" s="2">
        <v>11</v>
      </c>
      <c r="B82" s="6" t="s">
        <v>85</v>
      </c>
      <c r="C82" s="7"/>
      <c r="D82" s="7"/>
      <c r="G82" s="2" t="s">
        <v>14</v>
      </c>
      <c r="H82" s="2">
        <v>3000</v>
      </c>
      <c r="I82" s="2"/>
      <c r="J82" s="2">
        <f t="shared" si="3"/>
        <v>0</v>
      </c>
    </row>
    <row r="83" spans="1:10" x14ac:dyDescent="0.25">
      <c r="A83" s="2">
        <v>12</v>
      </c>
      <c r="B83" s="6" t="s">
        <v>86</v>
      </c>
      <c r="C83" s="7"/>
      <c r="D83" s="7"/>
      <c r="G83" s="2" t="s">
        <v>14</v>
      </c>
      <c r="H83" s="2">
        <v>2500</v>
      </c>
      <c r="I83" s="2">
        <v>2</v>
      </c>
      <c r="J83" s="2">
        <f t="shared" si="3"/>
        <v>5000</v>
      </c>
    </row>
    <row r="84" spans="1:10" x14ac:dyDescent="0.25">
      <c r="A84" s="2">
        <v>13</v>
      </c>
      <c r="B84" s="6" t="s">
        <v>87</v>
      </c>
      <c r="C84" s="7"/>
      <c r="D84" s="7"/>
      <c r="G84" s="2" t="s">
        <v>14</v>
      </c>
      <c r="H84" s="2">
        <v>2000</v>
      </c>
      <c r="I84" s="2"/>
      <c r="J84" s="2">
        <f t="shared" si="3"/>
        <v>0</v>
      </c>
    </row>
    <row r="85" spans="1:10" x14ac:dyDescent="0.25">
      <c r="A85" s="2">
        <v>14</v>
      </c>
      <c r="B85" s="6" t="s">
        <v>88</v>
      </c>
      <c r="C85" s="7"/>
      <c r="D85" s="7"/>
      <c r="G85" s="2" t="s">
        <v>14</v>
      </c>
      <c r="H85" s="2">
        <v>1500</v>
      </c>
      <c r="I85" s="2"/>
      <c r="J85" s="2">
        <f t="shared" si="3"/>
        <v>0</v>
      </c>
    </row>
    <row r="86" spans="1:10" x14ac:dyDescent="0.25">
      <c r="A86" s="2">
        <v>15</v>
      </c>
      <c r="B86" s="6" t="s">
        <v>89</v>
      </c>
      <c r="C86" s="7"/>
      <c r="D86" s="7"/>
      <c r="G86" s="2" t="s">
        <v>14</v>
      </c>
      <c r="H86" s="2">
        <v>3000</v>
      </c>
      <c r="I86" s="2"/>
      <c r="J86" s="2">
        <f t="shared" si="3"/>
        <v>0</v>
      </c>
    </row>
    <row r="87" spans="1:10" x14ac:dyDescent="0.25">
      <c r="A87" s="2">
        <v>16</v>
      </c>
      <c r="B87" s="7" t="s">
        <v>90</v>
      </c>
      <c r="C87" s="7"/>
      <c r="D87" s="7"/>
      <c r="G87" s="2" t="s">
        <v>46</v>
      </c>
      <c r="H87" s="2">
        <v>5000</v>
      </c>
      <c r="I87" s="2"/>
      <c r="J87" s="2">
        <f t="shared" si="3"/>
        <v>0</v>
      </c>
    </row>
    <row r="88" spans="1:10" x14ac:dyDescent="0.25">
      <c r="A88" s="2">
        <v>17</v>
      </c>
      <c r="B88" s="7" t="s">
        <v>91</v>
      </c>
      <c r="C88" s="7"/>
      <c r="D88" s="7"/>
      <c r="G88" s="2" t="s">
        <v>46</v>
      </c>
      <c r="H88" s="2">
        <v>3000</v>
      </c>
      <c r="I88" s="2"/>
      <c r="J88" s="2">
        <f t="shared" si="3"/>
        <v>0</v>
      </c>
    </row>
    <row r="89" spans="1:10" x14ac:dyDescent="0.25">
      <c r="A89" s="2">
        <v>18</v>
      </c>
      <c r="B89" s="7" t="s">
        <v>92</v>
      </c>
      <c r="C89" s="7"/>
      <c r="D89" s="7"/>
      <c r="G89" s="2" t="s">
        <v>46</v>
      </c>
      <c r="H89" s="2">
        <v>5000</v>
      </c>
      <c r="I89" s="2"/>
      <c r="J89" s="2">
        <f t="shared" si="3"/>
        <v>0</v>
      </c>
    </row>
    <row r="90" spans="1:10" x14ac:dyDescent="0.25">
      <c r="A90" s="2">
        <v>19</v>
      </c>
      <c r="B90" s="6" t="s">
        <v>93</v>
      </c>
      <c r="C90" s="7"/>
      <c r="D90" s="7"/>
      <c r="G90" s="2" t="s">
        <v>14</v>
      </c>
      <c r="H90" s="2">
        <v>700</v>
      </c>
      <c r="I90" s="2"/>
      <c r="J90" s="2">
        <f t="shared" si="3"/>
        <v>0</v>
      </c>
    </row>
    <row r="91" spans="1:10" x14ac:dyDescent="0.25">
      <c r="A91" s="2">
        <v>20</v>
      </c>
      <c r="B91" s="6" t="s">
        <v>94</v>
      </c>
      <c r="C91" s="7"/>
      <c r="D91" s="7"/>
      <c r="G91" s="2" t="s">
        <v>14</v>
      </c>
      <c r="H91" s="2">
        <v>800</v>
      </c>
      <c r="I91" s="2"/>
      <c r="J91" s="2">
        <f t="shared" si="3"/>
        <v>0</v>
      </c>
    </row>
    <row r="92" spans="1:10" x14ac:dyDescent="0.25">
      <c r="A92" s="2">
        <v>21</v>
      </c>
      <c r="B92" s="7" t="s">
        <v>95</v>
      </c>
      <c r="C92" s="7"/>
      <c r="D92" s="7"/>
      <c r="G92" s="2" t="s">
        <v>46</v>
      </c>
      <c r="H92" s="2">
        <v>5000</v>
      </c>
      <c r="I92" s="2"/>
      <c r="J92" s="2">
        <f t="shared" si="3"/>
        <v>0</v>
      </c>
    </row>
    <row r="93" spans="1:10" x14ac:dyDescent="0.25">
      <c r="A93" s="2">
        <v>22</v>
      </c>
      <c r="B93" s="6" t="s">
        <v>96</v>
      </c>
      <c r="C93" s="7"/>
      <c r="D93" s="7"/>
      <c r="G93" s="2" t="s">
        <v>46</v>
      </c>
      <c r="H93" s="2">
        <v>7000</v>
      </c>
      <c r="I93" s="2"/>
      <c r="J93" s="2">
        <f t="shared" si="3"/>
        <v>0</v>
      </c>
    </row>
    <row r="94" spans="1:10" x14ac:dyDescent="0.25">
      <c r="A94" s="8"/>
      <c r="B94" s="9" t="s">
        <v>35</v>
      </c>
      <c r="C94" s="10" t="s">
        <v>97</v>
      </c>
      <c r="D94" s="8"/>
      <c r="E94" s="12">
        <f>SUM(J72:J93)</f>
        <v>5000</v>
      </c>
      <c r="F94" s="10" t="s">
        <v>37</v>
      </c>
    </row>
    <row r="96" spans="1:10" ht="17.25" x14ac:dyDescent="0.3">
      <c r="A96" s="4"/>
      <c r="B96" s="4"/>
      <c r="C96" s="4"/>
      <c r="D96" s="14" t="s">
        <v>98</v>
      </c>
      <c r="E96" s="15"/>
      <c r="F96" s="16"/>
      <c r="G96" s="17"/>
      <c r="H96" s="4"/>
      <c r="I96" s="4"/>
      <c r="J96" s="4"/>
    </row>
    <row r="97" spans="1:10" x14ac:dyDescent="0.25">
      <c r="A97" s="2">
        <v>1</v>
      </c>
      <c r="B97" t="s">
        <v>99</v>
      </c>
      <c r="G97" s="2" t="s">
        <v>40</v>
      </c>
      <c r="H97" s="2">
        <v>100</v>
      </c>
      <c r="I97" s="2"/>
      <c r="J97" s="2">
        <f t="shared" ref="J97:J103" si="4">I97*H97</f>
        <v>0</v>
      </c>
    </row>
    <row r="98" spans="1:10" x14ac:dyDescent="0.25">
      <c r="A98" s="2">
        <v>2</v>
      </c>
      <c r="B98" t="s">
        <v>100</v>
      </c>
      <c r="G98" s="2" t="s">
        <v>40</v>
      </c>
      <c r="H98" s="2">
        <v>100</v>
      </c>
      <c r="I98" s="2"/>
      <c r="J98" s="2">
        <f t="shared" si="4"/>
        <v>0</v>
      </c>
    </row>
    <row r="99" spans="1:10" x14ac:dyDescent="0.25">
      <c r="A99" s="2">
        <v>3</v>
      </c>
      <c r="B99" t="s">
        <v>101</v>
      </c>
      <c r="G99" s="2" t="s">
        <v>14</v>
      </c>
      <c r="H99" s="2">
        <v>300</v>
      </c>
      <c r="I99" s="2"/>
      <c r="J99" s="2">
        <f t="shared" si="4"/>
        <v>0</v>
      </c>
    </row>
    <row r="100" spans="1:10" x14ac:dyDescent="0.25">
      <c r="A100" s="2">
        <v>4</v>
      </c>
      <c r="B100" t="s">
        <v>102</v>
      </c>
      <c r="G100" s="2" t="s">
        <v>9</v>
      </c>
      <c r="H100" s="2">
        <v>30</v>
      </c>
      <c r="I100" s="2"/>
      <c r="J100" s="2">
        <f t="shared" si="4"/>
        <v>0</v>
      </c>
    </row>
    <row r="101" spans="1:10" x14ac:dyDescent="0.25">
      <c r="A101" s="2">
        <v>5</v>
      </c>
      <c r="B101" t="s">
        <v>103</v>
      </c>
      <c r="G101" s="2" t="s">
        <v>9</v>
      </c>
      <c r="H101" s="2">
        <v>50</v>
      </c>
      <c r="I101" s="2"/>
      <c r="J101" s="2">
        <f t="shared" si="4"/>
        <v>0</v>
      </c>
    </row>
    <row r="102" spans="1:10" x14ac:dyDescent="0.25">
      <c r="A102" s="2">
        <v>6</v>
      </c>
      <c r="B102" t="s">
        <v>104</v>
      </c>
      <c r="G102" s="2" t="s">
        <v>14</v>
      </c>
      <c r="H102" s="2">
        <v>1000</v>
      </c>
      <c r="I102" s="2"/>
      <c r="J102" s="2">
        <f t="shared" si="4"/>
        <v>0</v>
      </c>
    </row>
    <row r="103" spans="1:10" x14ac:dyDescent="0.25">
      <c r="A103" s="2">
        <v>7</v>
      </c>
      <c r="B103" t="s">
        <v>105</v>
      </c>
      <c r="G103" s="2" t="s">
        <v>14</v>
      </c>
      <c r="H103" s="2">
        <v>1500</v>
      </c>
      <c r="I103" s="2"/>
      <c r="J103" s="2">
        <f t="shared" si="4"/>
        <v>0</v>
      </c>
    </row>
    <row r="104" spans="1:10" x14ac:dyDescent="0.25">
      <c r="A104" s="8"/>
      <c r="B104" s="18" t="s">
        <v>35</v>
      </c>
      <c r="C104" s="8" t="s">
        <v>106</v>
      </c>
      <c r="D104" s="8"/>
      <c r="E104" s="19">
        <f>SUM(J97:J103)</f>
        <v>0</v>
      </c>
      <c r="F104" s="20" t="s">
        <v>37</v>
      </c>
    </row>
    <row r="106" spans="1:10" ht="17.25" x14ac:dyDescent="0.3">
      <c r="A106" s="4"/>
      <c r="B106" s="4"/>
      <c r="C106" s="4"/>
      <c r="D106" s="14" t="s">
        <v>107</v>
      </c>
      <c r="E106" s="15"/>
      <c r="F106" s="16"/>
      <c r="G106" s="17"/>
      <c r="H106" s="4"/>
      <c r="I106" s="4"/>
      <c r="J106" s="4"/>
    </row>
    <row r="107" spans="1:10" x14ac:dyDescent="0.25">
      <c r="A107" s="2">
        <v>1</v>
      </c>
      <c r="B107" t="s">
        <v>108</v>
      </c>
      <c r="G107" s="2" t="s">
        <v>9</v>
      </c>
      <c r="H107" s="2">
        <v>200</v>
      </c>
      <c r="I107" s="2"/>
      <c r="J107" s="2">
        <f>I107*H107</f>
        <v>0</v>
      </c>
    </row>
    <row r="108" spans="1:10" x14ac:dyDescent="0.25">
      <c r="A108" s="2">
        <v>2</v>
      </c>
      <c r="B108" t="s">
        <v>109</v>
      </c>
      <c r="G108" s="2" t="s">
        <v>46</v>
      </c>
      <c r="H108" s="2">
        <v>5000</v>
      </c>
      <c r="I108" s="2"/>
      <c r="J108" s="2">
        <f>I108*H108</f>
        <v>0</v>
      </c>
    </row>
    <row r="109" spans="1:10" x14ac:dyDescent="0.25">
      <c r="A109" s="2">
        <v>3</v>
      </c>
      <c r="B109" t="s">
        <v>110</v>
      </c>
      <c r="G109" s="2" t="s">
        <v>46</v>
      </c>
      <c r="H109" s="2">
        <v>11000</v>
      </c>
      <c r="I109" s="2"/>
      <c r="J109" s="2">
        <f>I109*H109</f>
        <v>0</v>
      </c>
    </row>
    <row r="110" spans="1:10" x14ac:dyDescent="0.25">
      <c r="A110" s="2">
        <v>4</v>
      </c>
      <c r="B110" t="s">
        <v>111</v>
      </c>
      <c r="G110" s="2" t="s">
        <v>14</v>
      </c>
      <c r="H110" s="2">
        <v>700</v>
      </c>
      <c r="I110" s="2"/>
      <c r="J110" s="2">
        <f>I110*H110</f>
        <v>0</v>
      </c>
    </row>
    <row r="111" spans="1:10" x14ac:dyDescent="0.25">
      <c r="A111" s="2">
        <v>5</v>
      </c>
      <c r="B111" t="s">
        <v>115</v>
      </c>
      <c r="G111" s="2" t="s">
        <v>14</v>
      </c>
      <c r="H111" s="2">
        <v>0</v>
      </c>
      <c r="I111" s="2"/>
      <c r="J111" s="2">
        <f>I111*H111</f>
        <v>0</v>
      </c>
    </row>
    <row r="112" spans="1:10" x14ac:dyDescent="0.25">
      <c r="A112" s="8"/>
      <c r="B112" s="18" t="s">
        <v>35</v>
      </c>
      <c r="C112" s="8" t="s">
        <v>112</v>
      </c>
      <c r="D112" s="8"/>
      <c r="E112" s="19">
        <f>SUM(J107:J111)</f>
        <v>0</v>
      </c>
      <c r="F112" s="20" t="s">
        <v>37</v>
      </c>
    </row>
    <row r="114" spans="5:10" x14ac:dyDescent="0.25">
      <c r="E114" t="s">
        <v>113</v>
      </c>
      <c r="F114" s="21" t="s">
        <v>35</v>
      </c>
      <c r="G114" s="22" t="s">
        <v>114</v>
      </c>
      <c r="H114" s="23"/>
      <c r="I114" s="23"/>
      <c r="J114" s="24">
        <f>SUM(J4:J111)</f>
        <v>81200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tabSelected="1" zoomScaleNormal="100" workbookViewId="0">
      <selection activeCell="J24" sqref="J24"/>
    </sheetView>
  </sheetViews>
  <sheetFormatPr defaultRowHeight="12" x14ac:dyDescent="0.2"/>
  <cols>
    <col min="1" max="1" width="4" style="28" bestFit="1" customWidth="1"/>
    <col min="2" max="2" width="87.7109375" style="28" bestFit="1" customWidth="1"/>
    <col min="3" max="3" width="6.42578125" style="28" bestFit="1" customWidth="1"/>
    <col min="4" max="4" width="8.140625" style="28" customWidth="1"/>
    <col min="5" max="5" width="11" style="28" customWidth="1"/>
    <col min="6" max="6" width="9.28515625" style="28" hidden="1" customWidth="1"/>
    <col min="7" max="8" width="10.28515625" style="28" bestFit="1" customWidth="1"/>
    <col min="9" max="16384" width="9.140625" style="28"/>
  </cols>
  <sheetData>
    <row r="1" spans="1:8" x14ac:dyDescent="0.2">
      <c r="A1" s="25"/>
      <c r="B1" s="26" t="s">
        <v>116</v>
      </c>
      <c r="C1" s="25" t="s">
        <v>117</v>
      </c>
      <c r="D1" s="25" t="s">
        <v>118</v>
      </c>
      <c r="E1" s="25" t="s">
        <v>119</v>
      </c>
      <c r="F1" s="27" t="s">
        <v>202</v>
      </c>
    </row>
    <row r="2" spans="1:8" x14ac:dyDescent="0.2">
      <c r="A2" s="25"/>
      <c r="B2" s="29" t="s">
        <v>120</v>
      </c>
      <c r="C2" s="25"/>
      <c r="D2" s="25"/>
      <c r="E2" s="25"/>
      <c r="F2" s="27"/>
    </row>
    <row r="3" spans="1:8" x14ac:dyDescent="0.2">
      <c r="A3" s="25">
        <v>1</v>
      </c>
      <c r="B3" s="30" t="s">
        <v>121</v>
      </c>
      <c r="C3" s="30">
        <v>12000</v>
      </c>
      <c r="D3" s="30"/>
      <c r="E3" s="31">
        <f>+C3*D3</f>
        <v>0</v>
      </c>
      <c r="F3" s="32">
        <f t="shared" ref="F3:F67" si="0">C3*D3+(E3)*0.45</f>
        <v>0</v>
      </c>
    </row>
    <row r="4" spans="1:8" x14ac:dyDescent="0.2">
      <c r="A4" s="25">
        <v>2</v>
      </c>
      <c r="B4" s="30" t="s">
        <v>122</v>
      </c>
      <c r="C4" s="30">
        <v>12000</v>
      </c>
      <c r="D4" s="30"/>
      <c r="E4" s="31">
        <f t="shared" ref="E4:E65" si="1">+C4*D4</f>
        <v>0</v>
      </c>
      <c r="F4" s="32">
        <f t="shared" si="0"/>
        <v>0</v>
      </c>
    </row>
    <row r="5" spans="1:8" x14ac:dyDescent="0.2">
      <c r="A5" s="25">
        <v>3</v>
      </c>
      <c r="B5" s="30" t="s">
        <v>123</v>
      </c>
      <c r="C5" s="30">
        <v>12000</v>
      </c>
      <c r="D5" s="30"/>
      <c r="E5" s="31">
        <f t="shared" si="1"/>
        <v>0</v>
      </c>
      <c r="F5" s="32">
        <f t="shared" si="0"/>
        <v>0</v>
      </c>
    </row>
    <row r="6" spans="1:8" x14ac:dyDescent="0.2">
      <c r="A6" s="25">
        <v>4</v>
      </c>
      <c r="B6" s="30" t="s">
        <v>209</v>
      </c>
      <c r="C6" s="30">
        <v>16000</v>
      </c>
      <c r="D6" s="30"/>
      <c r="E6" s="31">
        <f t="shared" si="1"/>
        <v>0</v>
      </c>
      <c r="F6" s="32">
        <f t="shared" si="0"/>
        <v>0</v>
      </c>
    </row>
    <row r="7" spans="1:8" x14ac:dyDescent="0.2">
      <c r="A7" s="25">
        <v>5</v>
      </c>
      <c r="B7" s="30" t="s">
        <v>124</v>
      </c>
      <c r="C7" s="30">
        <v>17000</v>
      </c>
      <c r="D7" s="30"/>
      <c r="E7" s="31">
        <f t="shared" si="1"/>
        <v>0</v>
      </c>
      <c r="F7" s="32">
        <f t="shared" si="0"/>
        <v>0</v>
      </c>
    </row>
    <row r="8" spans="1:8" x14ac:dyDescent="0.2">
      <c r="A8" s="25">
        <v>6</v>
      </c>
      <c r="B8" s="30" t="s">
        <v>125</v>
      </c>
      <c r="C8" s="30">
        <v>3500</v>
      </c>
      <c r="D8" s="30"/>
      <c r="E8" s="31">
        <f t="shared" si="1"/>
        <v>0</v>
      </c>
      <c r="F8" s="32">
        <f t="shared" si="0"/>
        <v>0</v>
      </c>
    </row>
    <row r="9" spans="1:8" x14ac:dyDescent="0.2">
      <c r="A9" s="25">
        <v>7</v>
      </c>
      <c r="B9" s="30" t="s">
        <v>126</v>
      </c>
      <c r="C9" s="30">
        <v>2000</v>
      </c>
      <c r="D9" s="30"/>
      <c r="E9" s="31">
        <f t="shared" si="1"/>
        <v>0</v>
      </c>
      <c r="F9" s="32">
        <f t="shared" si="0"/>
        <v>0</v>
      </c>
    </row>
    <row r="10" spans="1:8" x14ac:dyDescent="0.2">
      <c r="A10" s="25">
        <v>8</v>
      </c>
      <c r="B10" s="30" t="s">
        <v>127</v>
      </c>
      <c r="C10" s="30">
        <v>8000</v>
      </c>
      <c r="D10" s="30"/>
      <c r="E10" s="31">
        <f t="shared" si="1"/>
        <v>0</v>
      </c>
      <c r="F10" s="32">
        <f t="shared" si="0"/>
        <v>0</v>
      </c>
    </row>
    <row r="11" spans="1:8" x14ac:dyDescent="0.2">
      <c r="A11" s="25">
        <v>9</v>
      </c>
      <c r="B11" s="30" t="s">
        <v>128</v>
      </c>
      <c r="C11" s="30">
        <v>10000</v>
      </c>
      <c r="D11" s="30"/>
      <c r="E11" s="31">
        <f t="shared" si="1"/>
        <v>0</v>
      </c>
      <c r="F11" s="32">
        <f t="shared" si="0"/>
        <v>0</v>
      </c>
    </row>
    <row r="12" spans="1:8" x14ac:dyDescent="0.2">
      <c r="A12" s="25">
        <v>10</v>
      </c>
      <c r="B12" s="30" t="s">
        <v>129</v>
      </c>
      <c r="C12" s="30">
        <v>100</v>
      </c>
      <c r="D12" s="30"/>
      <c r="E12" s="31">
        <f t="shared" si="1"/>
        <v>0</v>
      </c>
      <c r="F12" s="32">
        <f t="shared" si="0"/>
        <v>0</v>
      </c>
    </row>
    <row r="13" spans="1:8" x14ac:dyDescent="0.2">
      <c r="A13" s="25">
        <v>11</v>
      </c>
      <c r="B13" s="30" t="s">
        <v>206</v>
      </c>
      <c r="C13" s="30">
        <v>100</v>
      </c>
      <c r="D13" s="30"/>
      <c r="E13" s="31">
        <f t="shared" si="1"/>
        <v>0</v>
      </c>
      <c r="F13" s="32">
        <f t="shared" si="0"/>
        <v>0</v>
      </c>
    </row>
    <row r="14" spans="1:8" x14ac:dyDescent="0.2">
      <c r="A14" s="25">
        <v>12</v>
      </c>
      <c r="B14" s="30" t="s">
        <v>130</v>
      </c>
      <c r="C14" s="30">
        <v>12000</v>
      </c>
      <c r="D14" s="30"/>
      <c r="E14" s="31">
        <f t="shared" si="1"/>
        <v>0</v>
      </c>
      <c r="F14" s="32">
        <f t="shared" si="0"/>
        <v>0</v>
      </c>
    </row>
    <row r="15" spans="1:8" x14ac:dyDescent="0.2">
      <c r="A15" s="25">
        <v>13</v>
      </c>
      <c r="B15" s="30" t="s">
        <v>131</v>
      </c>
      <c r="C15" s="30">
        <v>600</v>
      </c>
      <c r="D15" s="30"/>
      <c r="E15" s="31">
        <f t="shared" si="1"/>
        <v>0</v>
      </c>
      <c r="F15" s="32">
        <f t="shared" si="0"/>
        <v>0</v>
      </c>
      <c r="H15" s="36"/>
    </row>
    <row r="16" spans="1:8" x14ac:dyDescent="0.2">
      <c r="A16" s="25">
        <v>14</v>
      </c>
      <c r="B16" s="30" t="s">
        <v>132</v>
      </c>
      <c r="C16" s="30">
        <v>2500</v>
      </c>
      <c r="D16" s="30"/>
      <c r="E16" s="31">
        <f t="shared" si="1"/>
        <v>0</v>
      </c>
      <c r="F16" s="32">
        <f t="shared" si="0"/>
        <v>0</v>
      </c>
    </row>
    <row r="17" spans="1:6" x14ac:dyDescent="0.2">
      <c r="A17" s="25">
        <v>15</v>
      </c>
      <c r="B17" s="30" t="s">
        <v>133</v>
      </c>
      <c r="C17" s="30">
        <v>2500</v>
      </c>
      <c r="D17" s="30"/>
      <c r="E17" s="31">
        <f t="shared" si="1"/>
        <v>0</v>
      </c>
      <c r="F17" s="32">
        <f t="shared" si="0"/>
        <v>0</v>
      </c>
    </row>
    <row r="18" spans="1:6" x14ac:dyDescent="0.2">
      <c r="A18" s="25">
        <v>16</v>
      </c>
      <c r="B18" s="30" t="s">
        <v>134</v>
      </c>
      <c r="C18" s="30">
        <v>2500</v>
      </c>
      <c r="D18" s="30"/>
      <c r="E18" s="31">
        <f t="shared" si="1"/>
        <v>0</v>
      </c>
      <c r="F18" s="32">
        <f t="shared" si="0"/>
        <v>0</v>
      </c>
    </row>
    <row r="19" spans="1:6" x14ac:dyDescent="0.2">
      <c r="A19" s="25">
        <v>17</v>
      </c>
      <c r="B19" s="30" t="s">
        <v>135</v>
      </c>
      <c r="C19" s="30">
        <v>100</v>
      </c>
      <c r="D19" s="30"/>
      <c r="E19" s="31">
        <f t="shared" si="1"/>
        <v>0</v>
      </c>
      <c r="F19" s="32">
        <f t="shared" si="0"/>
        <v>0</v>
      </c>
    </row>
    <row r="20" spans="1:6" x14ac:dyDescent="0.2">
      <c r="A20" s="25">
        <v>18</v>
      </c>
      <c r="B20" s="30" t="s">
        <v>136</v>
      </c>
      <c r="C20" s="30">
        <v>300</v>
      </c>
      <c r="D20" s="30"/>
      <c r="E20" s="31">
        <f t="shared" si="1"/>
        <v>0</v>
      </c>
      <c r="F20" s="32">
        <f t="shared" si="0"/>
        <v>0</v>
      </c>
    </row>
    <row r="21" spans="1:6" x14ac:dyDescent="0.2">
      <c r="A21" s="25">
        <v>19</v>
      </c>
      <c r="B21" s="30" t="s">
        <v>137</v>
      </c>
      <c r="C21" s="30">
        <v>2000</v>
      </c>
      <c r="D21" s="30"/>
      <c r="E21" s="31">
        <f t="shared" si="1"/>
        <v>0</v>
      </c>
      <c r="F21" s="32">
        <f t="shared" si="0"/>
        <v>0</v>
      </c>
    </row>
    <row r="22" spans="1:6" x14ac:dyDescent="0.2">
      <c r="A22" s="25">
        <v>20</v>
      </c>
      <c r="B22" s="30" t="s">
        <v>138</v>
      </c>
      <c r="C22" s="30">
        <v>1500</v>
      </c>
      <c r="D22" s="30"/>
      <c r="E22" s="31">
        <f t="shared" si="1"/>
        <v>0</v>
      </c>
      <c r="F22" s="32">
        <f t="shared" si="0"/>
        <v>0</v>
      </c>
    </row>
    <row r="23" spans="1:6" x14ac:dyDescent="0.2">
      <c r="A23" s="25">
        <v>21</v>
      </c>
      <c r="B23" s="30" t="s">
        <v>213</v>
      </c>
      <c r="C23" s="30">
        <v>6000</v>
      </c>
      <c r="D23" s="30"/>
      <c r="E23" s="31">
        <f t="shared" si="1"/>
        <v>0</v>
      </c>
      <c r="F23" s="32">
        <f t="shared" si="0"/>
        <v>0</v>
      </c>
    </row>
    <row r="24" spans="1:6" x14ac:dyDescent="0.2">
      <c r="A24" s="25">
        <v>22</v>
      </c>
      <c r="B24" s="30" t="s">
        <v>139</v>
      </c>
      <c r="C24" s="30">
        <v>5000</v>
      </c>
      <c r="D24" s="30"/>
      <c r="E24" s="31">
        <f t="shared" si="1"/>
        <v>0</v>
      </c>
      <c r="F24" s="32">
        <f t="shared" si="0"/>
        <v>0</v>
      </c>
    </row>
    <row r="25" spans="1:6" x14ac:dyDescent="0.2">
      <c r="A25" s="25">
        <v>23</v>
      </c>
      <c r="B25" s="30" t="s">
        <v>140</v>
      </c>
      <c r="C25" s="30">
        <v>6000</v>
      </c>
      <c r="D25" s="30"/>
      <c r="E25" s="31">
        <f t="shared" si="1"/>
        <v>0</v>
      </c>
      <c r="F25" s="32">
        <f t="shared" si="0"/>
        <v>0</v>
      </c>
    </row>
    <row r="26" spans="1:6" x14ac:dyDescent="0.2">
      <c r="A26" s="25">
        <v>24</v>
      </c>
      <c r="B26" s="30" t="s">
        <v>210</v>
      </c>
      <c r="C26" s="30">
        <v>2000</v>
      </c>
      <c r="D26" s="30"/>
      <c r="E26" s="31">
        <f t="shared" si="1"/>
        <v>0</v>
      </c>
      <c r="F26" s="32">
        <f t="shared" si="0"/>
        <v>0</v>
      </c>
    </row>
    <row r="27" spans="1:6" x14ac:dyDescent="0.2">
      <c r="A27" s="25">
        <v>25</v>
      </c>
      <c r="B27" s="30" t="s">
        <v>211</v>
      </c>
      <c r="C27" s="30">
        <v>12000</v>
      </c>
      <c r="D27" s="30"/>
      <c r="E27" s="31">
        <f t="shared" si="1"/>
        <v>0</v>
      </c>
      <c r="F27" s="32">
        <f t="shared" si="0"/>
        <v>0</v>
      </c>
    </row>
    <row r="28" spans="1:6" x14ac:dyDescent="0.2">
      <c r="A28" s="25">
        <v>26</v>
      </c>
      <c r="B28" s="30" t="s">
        <v>141</v>
      </c>
      <c r="C28" s="30">
        <v>1000</v>
      </c>
      <c r="D28" s="30"/>
      <c r="E28" s="31">
        <f t="shared" si="1"/>
        <v>0</v>
      </c>
      <c r="F28" s="32">
        <f t="shared" si="0"/>
        <v>0</v>
      </c>
    </row>
    <row r="29" spans="1:6" x14ac:dyDescent="0.2">
      <c r="A29" s="25">
        <v>27</v>
      </c>
      <c r="B29" s="30" t="s">
        <v>142</v>
      </c>
      <c r="C29" s="30">
        <v>2500</v>
      </c>
      <c r="D29" s="30"/>
      <c r="E29" s="31">
        <f t="shared" si="1"/>
        <v>0</v>
      </c>
      <c r="F29" s="32">
        <f t="shared" si="0"/>
        <v>0</v>
      </c>
    </row>
    <row r="30" spans="1:6" x14ac:dyDescent="0.2">
      <c r="A30" s="25">
        <v>28</v>
      </c>
      <c r="B30" s="30" t="s">
        <v>143</v>
      </c>
      <c r="C30" s="30">
        <v>100</v>
      </c>
      <c r="D30" s="30"/>
      <c r="E30" s="31">
        <f t="shared" si="1"/>
        <v>0</v>
      </c>
      <c r="F30" s="32">
        <f t="shared" si="0"/>
        <v>0</v>
      </c>
    </row>
    <row r="31" spans="1:6" x14ac:dyDescent="0.2">
      <c r="A31" s="25">
        <v>29</v>
      </c>
      <c r="B31" s="30" t="s">
        <v>144</v>
      </c>
      <c r="C31" s="30">
        <v>2000</v>
      </c>
      <c r="D31" s="30"/>
      <c r="E31" s="31">
        <f t="shared" si="1"/>
        <v>0</v>
      </c>
      <c r="F31" s="32">
        <f t="shared" si="0"/>
        <v>0</v>
      </c>
    </row>
    <row r="32" spans="1:6" x14ac:dyDescent="0.2">
      <c r="A32" s="25">
        <v>30</v>
      </c>
      <c r="B32" s="30" t="s">
        <v>145</v>
      </c>
      <c r="C32" s="30">
        <v>10000</v>
      </c>
      <c r="D32" s="30"/>
      <c r="E32" s="31">
        <f t="shared" si="1"/>
        <v>0</v>
      </c>
      <c r="F32" s="32">
        <f t="shared" si="0"/>
        <v>0</v>
      </c>
    </row>
    <row r="33" spans="1:6" x14ac:dyDescent="0.2">
      <c r="A33" s="25">
        <v>31</v>
      </c>
      <c r="B33" s="30" t="s">
        <v>216</v>
      </c>
      <c r="C33" s="30"/>
      <c r="D33" s="30"/>
      <c r="E33" s="31"/>
      <c r="F33" s="32"/>
    </row>
    <row r="34" spans="1:6" x14ac:dyDescent="0.2">
      <c r="A34" s="25">
        <v>32</v>
      </c>
      <c r="B34" s="30" t="s">
        <v>146</v>
      </c>
      <c r="C34" s="30">
        <v>200</v>
      </c>
      <c r="D34" s="30"/>
      <c r="E34" s="31">
        <f t="shared" si="1"/>
        <v>0</v>
      </c>
      <c r="F34" s="32">
        <f t="shared" si="0"/>
        <v>0</v>
      </c>
    </row>
    <row r="35" spans="1:6" x14ac:dyDescent="0.2">
      <c r="A35" s="25">
        <v>33</v>
      </c>
      <c r="B35" s="30" t="s">
        <v>147</v>
      </c>
      <c r="C35" s="30">
        <v>150</v>
      </c>
      <c r="D35" s="30"/>
      <c r="E35" s="31">
        <f t="shared" si="1"/>
        <v>0</v>
      </c>
      <c r="F35" s="32">
        <f t="shared" si="0"/>
        <v>0</v>
      </c>
    </row>
    <row r="36" spans="1:6" x14ac:dyDescent="0.2">
      <c r="A36" s="25">
        <v>34</v>
      </c>
      <c r="B36" s="30" t="s">
        <v>212</v>
      </c>
      <c r="C36" s="42">
        <v>25000</v>
      </c>
      <c r="D36" s="30"/>
      <c r="E36" s="31">
        <f t="shared" si="1"/>
        <v>0</v>
      </c>
      <c r="F36" s="32">
        <f t="shared" si="0"/>
        <v>0</v>
      </c>
    </row>
    <row r="37" spans="1:6" x14ac:dyDescent="0.2">
      <c r="A37" s="25">
        <v>35</v>
      </c>
      <c r="B37" s="30" t="s">
        <v>148</v>
      </c>
      <c r="C37" s="30">
        <v>5000</v>
      </c>
      <c r="D37" s="30"/>
      <c r="E37" s="31">
        <f t="shared" si="1"/>
        <v>0</v>
      </c>
      <c r="F37" s="32">
        <f t="shared" si="0"/>
        <v>0</v>
      </c>
    </row>
    <row r="38" spans="1:6" x14ac:dyDescent="0.2">
      <c r="A38" s="25"/>
      <c r="B38" s="29" t="s">
        <v>149</v>
      </c>
      <c r="C38" s="25"/>
      <c r="D38" s="25"/>
      <c r="E38" s="33">
        <f t="shared" si="1"/>
        <v>0</v>
      </c>
      <c r="F38" s="32">
        <f t="shared" si="0"/>
        <v>0</v>
      </c>
    </row>
    <row r="39" spans="1:6" x14ac:dyDescent="0.2">
      <c r="A39" s="34">
        <v>1</v>
      </c>
      <c r="B39" s="30" t="s">
        <v>150</v>
      </c>
      <c r="C39" s="30">
        <v>2000</v>
      </c>
      <c r="D39" s="30"/>
      <c r="E39" s="31">
        <f t="shared" si="1"/>
        <v>0</v>
      </c>
      <c r="F39" s="32">
        <f t="shared" si="0"/>
        <v>0</v>
      </c>
    </row>
    <row r="40" spans="1:6" x14ac:dyDescent="0.2">
      <c r="A40" s="34">
        <v>2</v>
      </c>
      <c r="B40" s="30" t="s">
        <v>151</v>
      </c>
      <c r="C40" s="30">
        <v>3500</v>
      </c>
      <c r="D40" s="30"/>
      <c r="E40" s="31">
        <f t="shared" si="1"/>
        <v>0</v>
      </c>
      <c r="F40" s="32">
        <f t="shared" si="0"/>
        <v>0</v>
      </c>
    </row>
    <row r="41" spans="1:6" x14ac:dyDescent="0.2">
      <c r="A41" s="34">
        <v>3</v>
      </c>
      <c r="B41" s="30" t="s">
        <v>152</v>
      </c>
      <c r="C41" s="30">
        <v>100</v>
      </c>
      <c r="D41" s="30"/>
      <c r="E41" s="31">
        <f t="shared" si="1"/>
        <v>0</v>
      </c>
      <c r="F41" s="32">
        <f t="shared" si="0"/>
        <v>0</v>
      </c>
    </row>
    <row r="42" spans="1:6" x14ac:dyDescent="0.2">
      <c r="A42" s="34">
        <v>4</v>
      </c>
      <c r="B42" s="30" t="s">
        <v>153</v>
      </c>
      <c r="C42" s="30">
        <v>1500</v>
      </c>
      <c r="D42" s="30"/>
      <c r="E42" s="31">
        <f t="shared" si="1"/>
        <v>0</v>
      </c>
      <c r="F42" s="32">
        <f t="shared" si="0"/>
        <v>0</v>
      </c>
    </row>
    <row r="43" spans="1:6" x14ac:dyDescent="0.2">
      <c r="A43" s="34">
        <v>7</v>
      </c>
      <c r="B43" s="30" t="s">
        <v>154</v>
      </c>
      <c r="C43" s="30">
        <v>3000</v>
      </c>
      <c r="D43" s="30"/>
      <c r="E43" s="31">
        <f t="shared" si="1"/>
        <v>0</v>
      </c>
      <c r="F43" s="32">
        <f t="shared" si="0"/>
        <v>0</v>
      </c>
    </row>
    <row r="44" spans="1:6" x14ac:dyDescent="0.2">
      <c r="A44" s="34">
        <v>8</v>
      </c>
      <c r="B44" s="30" t="s">
        <v>143</v>
      </c>
      <c r="C44" s="30">
        <v>100</v>
      </c>
      <c r="D44" s="30"/>
      <c r="E44" s="31">
        <f t="shared" si="1"/>
        <v>0</v>
      </c>
      <c r="F44" s="32">
        <f t="shared" si="0"/>
        <v>0</v>
      </c>
    </row>
    <row r="45" spans="1:6" x14ac:dyDescent="0.2">
      <c r="A45" s="25">
        <v>9</v>
      </c>
      <c r="B45" s="30" t="s">
        <v>155</v>
      </c>
      <c r="C45" s="30">
        <v>1000</v>
      </c>
      <c r="D45" s="30"/>
      <c r="E45" s="31">
        <f t="shared" si="1"/>
        <v>0</v>
      </c>
      <c r="F45" s="32">
        <f t="shared" si="0"/>
        <v>0</v>
      </c>
    </row>
    <row r="46" spans="1:6" x14ac:dyDescent="0.2">
      <c r="A46" s="25">
        <v>10</v>
      </c>
      <c r="B46" s="30" t="s">
        <v>156</v>
      </c>
      <c r="C46" s="30">
        <v>3500</v>
      </c>
      <c r="D46" s="30"/>
      <c r="E46" s="31">
        <f t="shared" si="1"/>
        <v>0</v>
      </c>
      <c r="F46" s="32">
        <f t="shared" si="0"/>
        <v>0</v>
      </c>
    </row>
    <row r="47" spans="1:6" x14ac:dyDescent="0.2">
      <c r="A47" s="25">
        <v>11</v>
      </c>
      <c r="B47" s="30" t="s">
        <v>157</v>
      </c>
      <c r="C47" s="30">
        <v>2000</v>
      </c>
      <c r="D47" s="30"/>
      <c r="E47" s="31">
        <f t="shared" si="1"/>
        <v>0</v>
      </c>
      <c r="F47" s="32">
        <f t="shared" si="0"/>
        <v>0</v>
      </c>
    </row>
    <row r="48" spans="1:6" x14ac:dyDescent="0.2">
      <c r="A48" s="25"/>
      <c r="B48" s="30" t="s">
        <v>215</v>
      </c>
      <c r="C48" s="30">
        <v>2500</v>
      </c>
      <c r="D48" s="30"/>
      <c r="E48" s="31">
        <f t="shared" si="1"/>
        <v>0</v>
      </c>
      <c r="F48" s="32">
        <f t="shared" si="0"/>
        <v>0</v>
      </c>
    </row>
    <row r="49" spans="1:6" x14ac:dyDescent="0.2">
      <c r="A49" s="25">
        <v>12</v>
      </c>
      <c r="B49" s="30" t="s">
        <v>214</v>
      </c>
      <c r="C49" s="30">
        <v>3500</v>
      </c>
      <c r="D49" s="30"/>
      <c r="E49" s="31">
        <f t="shared" si="1"/>
        <v>0</v>
      </c>
      <c r="F49" s="32">
        <f t="shared" si="0"/>
        <v>0</v>
      </c>
    </row>
    <row r="50" spans="1:6" ht="12.75" x14ac:dyDescent="0.2">
      <c r="A50" s="25"/>
      <c r="B50" s="35" t="s">
        <v>158</v>
      </c>
      <c r="C50" s="25"/>
      <c r="D50" s="25"/>
      <c r="E50" s="31">
        <f t="shared" si="1"/>
        <v>0</v>
      </c>
      <c r="F50" s="32">
        <f t="shared" si="0"/>
        <v>0</v>
      </c>
    </row>
    <row r="51" spans="1:6" x14ac:dyDescent="0.2">
      <c r="A51" s="25">
        <v>1</v>
      </c>
      <c r="B51" s="30" t="s">
        <v>159</v>
      </c>
      <c r="C51" s="30">
        <v>100</v>
      </c>
      <c r="D51" s="30"/>
      <c r="E51" s="31">
        <f t="shared" si="1"/>
        <v>0</v>
      </c>
      <c r="F51" s="32">
        <f t="shared" si="0"/>
        <v>0</v>
      </c>
    </row>
    <row r="52" spans="1:6" x14ac:dyDescent="0.2">
      <c r="A52" s="25">
        <v>2</v>
      </c>
      <c r="B52" s="30" t="s">
        <v>203</v>
      </c>
      <c r="C52" s="30">
        <v>150</v>
      </c>
      <c r="D52" s="30"/>
      <c r="E52" s="31">
        <f t="shared" si="1"/>
        <v>0</v>
      </c>
      <c r="F52" s="32">
        <f t="shared" si="0"/>
        <v>0</v>
      </c>
    </row>
    <row r="53" spans="1:6" x14ac:dyDescent="0.2">
      <c r="A53" s="25">
        <v>3</v>
      </c>
      <c r="B53" s="30" t="s">
        <v>160</v>
      </c>
      <c r="C53" s="30">
        <v>2000</v>
      </c>
      <c r="D53" s="30"/>
      <c r="E53" s="31">
        <f t="shared" si="1"/>
        <v>0</v>
      </c>
      <c r="F53" s="32">
        <f t="shared" si="0"/>
        <v>0</v>
      </c>
    </row>
    <row r="54" spans="1:6" x14ac:dyDescent="0.2">
      <c r="A54" s="25">
        <v>4</v>
      </c>
      <c r="B54" s="30" t="s">
        <v>161</v>
      </c>
      <c r="C54" s="30">
        <v>2500</v>
      </c>
      <c r="D54" s="30"/>
      <c r="E54" s="31">
        <f t="shared" si="1"/>
        <v>0</v>
      </c>
      <c r="F54" s="32">
        <f t="shared" si="0"/>
        <v>0</v>
      </c>
    </row>
    <row r="55" spans="1:6" x14ac:dyDescent="0.2">
      <c r="A55" s="25">
        <v>5</v>
      </c>
      <c r="B55" s="30" t="s">
        <v>162</v>
      </c>
      <c r="C55" s="30">
        <v>1000</v>
      </c>
      <c r="D55" s="30"/>
      <c r="E55" s="31">
        <f t="shared" si="1"/>
        <v>0</v>
      </c>
      <c r="F55" s="32">
        <f t="shared" si="0"/>
        <v>0</v>
      </c>
    </row>
    <row r="56" spans="1:6" x14ac:dyDescent="0.2">
      <c r="A56" s="25">
        <v>6</v>
      </c>
      <c r="B56" s="30" t="s">
        <v>205</v>
      </c>
      <c r="C56" s="30">
        <v>5000</v>
      </c>
      <c r="D56" s="30"/>
      <c r="E56" s="31">
        <f t="shared" si="1"/>
        <v>0</v>
      </c>
      <c r="F56" s="32">
        <f t="shared" si="0"/>
        <v>0</v>
      </c>
    </row>
    <row r="57" spans="1:6" x14ac:dyDescent="0.2">
      <c r="A57" s="25">
        <v>7</v>
      </c>
      <c r="B57" s="30" t="s">
        <v>163</v>
      </c>
      <c r="C57" s="30">
        <v>2000</v>
      </c>
      <c r="D57" s="30"/>
      <c r="E57" s="31">
        <f t="shared" si="1"/>
        <v>0</v>
      </c>
      <c r="F57" s="32">
        <f t="shared" si="0"/>
        <v>0</v>
      </c>
    </row>
    <row r="58" spans="1:6" x14ac:dyDescent="0.2">
      <c r="A58" s="25">
        <v>8</v>
      </c>
      <c r="B58" s="30" t="s">
        <v>164</v>
      </c>
      <c r="C58" s="30">
        <v>2000</v>
      </c>
      <c r="D58" s="30"/>
      <c r="E58" s="31">
        <f t="shared" si="1"/>
        <v>0</v>
      </c>
      <c r="F58" s="32">
        <f t="shared" si="0"/>
        <v>0</v>
      </c>
    </row>
    <row r="59" spans="1:6" x14ac:dyDescent="0.2">
      <c r="A59" s="25">
        <v>9</v>
      </c>
      <c r="B59" s="30" t="s">
        <v>165</v>
      </c>
      <c r="C59" s="30">
        <v>3500</v>
      </c>
      <c r="D59" s="30"/>
      <c r="E59" s="31">
        <f t="shared" si="1"/>
        <v>0</v>
      </c>
      <c r="F59" s="32">
        <f t="shared" si="0"/>
        <v>0</v>
      </c>
    </row>
    <row r="60" spans="1:6" x14ac:dyDescent="0.2">
      <c r="A60" s="25">
        <v>10</v>
      </c>
      <c r="B60" s="30" t="s">
        <v>166</v>
      </c>
      <c r="C60" s="30">
        <v>150</v>
      </c>
      <c r="D60" s="30"/>
      <c r="E60" s="31">
        <f t="shared" si="1"/>
        <v>0</v>
      </c>
      <c r="F60" s="32">
        <f t="shared" si="0"/>
        <v>0</v>
      </c>
    </row>
    <row r="61" spans="1:6" x14ac:dyDescent="0.2">
      <c r="A61" s="25">
        <v>11</v>
      </c>
      <c r="B61" s="30" t="s">
        <v>167</v>
      </c>
      <c r="C61" s="30">
        <v>1000</v>
      </c>
      <c r="D61" s="30"/>
      <c r="E61" s="31">
        <f t="shared" si="1"/>
        <v>0</v>
      </c>
      <c r="F61" s="32">
        <f t="shared" si="0"/>
        <v>0</v>
      </c>
    </row>
    <row r="62" spans="1:6" ht="12.75" x14ac:dyDescent="0.2">
      <c r="A62" s="25"/>
      <c r="B62" s="35" t="s">
        <v>168</v>
      </c>
      <c r="C62" s="25"/>
      <c r="D62" s="25"/>
      <c r="E62" s="31">
        <f t="shared" si="1"/>
        <v>0</v>
      </c>
      <c r="F62" s="32">
        <f t="shared" si="0"/>
        <v>0</v>
      </c>
    </row>
    <row r="63" spans="1:6" x14ac:dyDescent="0.2">
      <c r="A63" s="25">
        <v>1</v>
      </c>
      <c r="B63" s="30" t="s">
        <v>169</v>
      </c>
      <c r="C63" s="30"/>
      <c r="D63" s="30"/>
      <c r="E63" s="31">
        <f t="shared" si="1"/>
        <v>0</v>
      </c>
      <c r="F63" s="32">
        <f t="shared" si="0"/>
        <v>0</v>
      </c>
    </row>
    <row r="64" spans="1:6" x14ac:dyDescent="0.2">
      <c r="A64" s="25">
        <v>2</v>
      </c>
      <c r="B64" s="30" t="s">
        <v>170</v>
      </c>
      <c r="C64" s="30"/>
      <c r="D64" s="30"/>
      <c r="E64" s="31">
        <f t="shared" si="1"/>
        <v>0</v>
      </c>
      <c r="F64" s="32">
        <f t="shared" si="0"/>
        <v>0</v>
      </c>
    </row>
    <row r="65" spans="1:6" x14ac:dyDescent="0.2">
      <c r="A65" s="25">
        <v>3</v>
      </c>
      <c r="B65" s="30" t="s">
        <v>171</v>
      </c>
      <c r="C65" s="30"/>
      <c r="D65" s="30"/>
      <c r="E65" s="31">
        <f t="shared" si="1"/>
        <v>0</v>
      </c>
      <c r="F65" s="32">
        <f t="shared" si="0"/>
        <v>0</v>
      </c>
    </row>
    <row r="66" spans="1:6" x14ac:dyDescent="0.2">
      <c r="A66" s="25">
        <v>4</v>
      </c>
      <c r="B66" s="30" t="s">
        <v>172</v>
      </c>
      <c r="C66" s="30"/>
      <c r="D66" s="30"/>
      <c r="E66" s="31">
        <f t="shared" ref="E66:E82" si="2">+C66*D66</f>
        <v>0</v>
      </c>
      <c r="F66" s="32">
        <f t="shared" si="0"/>
        <v>0</v>
      </c>
    </row>
    <row r="67" spans="1:6" x14ac:dyDescent="0.2">
      <c r="A67" s="25">
        <v>5</v>
      </c>
      <c r="B67" s="30" t="s">
        <v>173</v>
      </c>
      <c r="C67" s="30">
        <v>1000</v>
      </c>
      <c r="D67" s="30"/>
      <c r="E67" s="31">
        <f t="shared" si="2"/>
        <v>0</v>
      </c>
      <c r="F67" s="32">
        <f t="shared" si="0"/>
        <v>0</v>
      </c>
    </row>
    <row r="68" spans="1:6" x14ac:dyDescent="0.2">
      <c r="A68" s="25">
        <v>6</v>
      </c>
      <c r="B68" s="30" t="s">
        <v>174</v>
      </c>
      <c r="C68" s="30">
        <v>2000</v>
      </c>
      <c r="D68" s="30"/>
      <c r="E68" s="31">
        <f t="shared" si="2"/>
        <v>0</v>
      </c>
      <c r="F68" s="32">
        <f t="shared" ref="F68:F82" si="3">C68*D68+(E68)*0.45</f>
        <v>0</v>
      </c>
    </row>
    <row r="69" spans="1:6" x14ac:dyDescent="0.2">
      <c r="A69" s="25">
        <v>7</v>
      </c>
      <c r="B69" s="30" t="s">
        <v>175</v>
      </c>
      <c r="C69" s="30">
        <v>2000</v>
      </c>
      <c r="D69" s="30"/>
      <c r="E69" s="31">
        <f t="shared" si="2"/>
        <v>0</v>
      </c>
      <c r="F69" s="32">
        <f t="shared" si="3"/>
        <v>0</v>
      </c>
    </row>
    <row r="70" spans="1:6" x14ac:dyDescent="0.2">
      <c r="A70" s="25">
        <v>8</v>
      </c>
      <c r="B70" s="30" t="s">
        <v>176</v>
      </c>
      <c r="C70" s="30">
        <v>1000</v>
      </c>
      <c r="D70" s="30"/>
      <c r="E70" s="31">
        <f t="shared" si="2"/>
        <v>0</v>
      </c>
      <c r="F70" s="32">
        <f t="shared" si="3"/>
        <v>0</v>
      </c>
    </row>
    <row r="71" spans="1:6" x14ac:dyDescent="0.2">
      <c r="A71" s="25">
        <v>9</v>
      </c>
      <c r="B71" s="30" t="s">
        <v>177</v>
      </c>
      <c r="C71" s="30">
        <v>2000</v>
      </c>
      <c r="D71" s="30"/>
      <c r="E71" s="31">
        <f t="shared" si="2"/>
        <v>0</v>
      </c>
      <c r="F71" s="32">
        <f t="shared" si="3"/>
        <v>0</v>
      </c>
    </row>
    <row r="72" spans="1:6" x14ac:dyDescent="0.2">
      <c r="A72" s="25">
        <v>10</v>
      </c>
      <c r="B72" s="30" t="s">
        <v>204</v>
      </c>
      <c r="C72" s="30">
        <v>500</v>
      </c>
      <c r="D72" s="30"/>
      <c r="E72" s="31">
        <f t="shared" si="2"/>
        <v>0</v>
      </c>
      <c r="F72" s="32">
        <f t="shared" si="3"/>
        <v>0</v>
      </c>
    </row>
    <row r="73" spans="1:6" x14ac:dyDescent="0.2">
      <c r="A73" s="25">
        <v>11</v>
      </c>
      <c r="B73" s="30" t="s">
        <v>178</v>
      </c>
      <c r="C73" s="30">
        <v>1000</v>
      </c>
      <c r="D73" s="30"/>
      <c r="E73" s="31">
        <f t="shared" si="2"/>
        <v>0</v>
      </c>
      <c r="F73" s="32">
        <f t="shared" si="3"/>
        <v>0</v>
      </c>
    </row>
    <row r="74" spans="1:6" x14ac:dyDescent="0.2">
      <c r="A74" s="25">
        <v>12</v>
      </c>
      <c r="B74" s="30" t="s">
        <v>179</v>
      </c>
      <c r="C74" s="30">
        <v>3000</v>
      </c>
      <c r="D74" s="30"/>
      <c r="E74" s="31">
        <f t="shared" si="2"/>
        <v>0</v>
      </c>
      <c r="F74" s="32">
        <f t="shared" si="3"/>
        <v>0</v>
      </c>
    </row>
    <row r="75" spans="1:6" x14ac:dyDescent="0.2">
      <c r="A75" s="25">
        <v>13</v>
      </c>
      <c r="B75" s="30" t="s">
        <v>180</v>
      </c>
      <c r="C75" s="30">
        <v>3500</v>
      </c>
      <c r="D75" s="30"/>
      <c r="E75" s="31">
        <f t="shared" si="2"/>
        <v>0</v>
      </c>
      <c r="F75" s="32">
        <f t="shared" si="3"/>
        <v>0</v>
      </c>
    </row>
    <row r="76" spans="1:6" x14ac:dyDescent="0.2">
      <c r="A76" s="25">
        <v>14</v>
      </c>
      <c r="B76" s="30" t="s">
        <v>181</v>
      </c>
      <c r="C76" s="30"/>
      <c r="D76" s="30"/>
      <c r="E76" s="31">
        <f t="shared" si="2"/>
        <v>0</v>
      </c>
      <c r="F76" s="32">
        <f t="shared" si="3"/>
        <v>0</v>
      </c>
    </row>
    <row r="77" spans="1:6" x14ac:dyDescent="0.2">
      <c r="A77" s="25">
        <v>15</v>
      </c>
      <c r="B77" s="30" t="s">
        <v>182</v>
      </c>
      <c r="C77" s="30">
        <v>3000</v>
      </c>
      <c r="D77" s="30"/>
      <c r="E77" s="31">
        <f t="shared" si="2"/>
        <v>0</v>
      </c>
      <c r="F77" s="32">
        <f t="shared" si="3"/>
        <v>0</v>
      </c>
    </row>
    <row r="78" spans="1:6" x14ac:dyDescent="0.2">
      <c r="A78" s="25">
        <v>16</v>
      </c>
      <c r="B78" s="30" t="s">
        <v>183</v>
      </c>
      <c r="C78" s="30">
        <v>3000</v>
      </c>
      <c r="D78" s="30"/>
      <c r="E78" s="31">
        <f t="shared" si="2"/>
        <v>0</v>
      </c>
      <c r="F78" s="32">
        <f t="shared" si="3"/>
        <v>0</v>
      </c>
    </row>
    <row r="79" spans="1:6" x14ac:dyDescent="0.2">
      <c r="A79" s="25">
        <v>18</v>
      </c>
      <c r="B79" s="30" t="s">
        <v>184</v>
      </c>
      <c r="C79" s="30">
        <v>5000</v>
      </c>
      <c r="D79" s="30"/>
      <c r="E79" s="31">
        <f t="shared" si="2"/>
        <v>0</v>
      </c>
      <c r="F79" s="32">
        <f t="shared" si="3"/>
        <v>0</v>
      </c>
    </row>
    <row r="80" spans="1:6" ht="12.75" x14ac:dyDescent="0.2">
      <c r="A80" s="25"/>
      <c r="B80" s="35" t="s">
        <v>185</v>
      </c>
      <c r="C80" s="25"/>
      <c r="D80" s="25"/>
      <c r="E80" s="31">
        <f t="shared" si="2"/>
        <v>0</v>
      </c>
      <c r="F80" s="32">
        <f t="shared" si="3"/>
        <v>0</v>
      </c>
    </row>
    <row r="81" spans="1:7" x14ac:dyDescent="0.2">
      <c r="A81" s="30">
        <v>1</v>
      </c>
      <c r="B81" s="30" t="s">
        <v>186</v>
      </c>
      <c r="C81" s="30">
        <v>20000</v>
      </c>
      <c r="D81" s="30"/>
      <c r="E81" s="31">
        <f t="shared" si="2"/>
        <v>0</v>
      </c>
      <c r="F81" s="32">
        <f t="shared" si="3"/>
        <v>0</v>
      </c>
    </row>
    <row r="82" spans="1:7" x14ac:dyDescent="0.2">
      <c r="A82" s="30">
        <v>2</v>
      </c>
      <c r="B82" s="30" t="s">
        <v>187</v>
      </c>
      <c r="C82" s="30">
        <v>5000</v>
      </c>
      <c r="D82" s="30"/>
      <c r="E82" s="31">
        <f t="shared" si="2"/>
        <v>0</v>
      </c>
      <c r="F82" s="32">
        <f t="shared" si="3"/>
        <v>0</v>
      </c>
    </row>
    <row r="83" spans="1:7" x14ac:dyDescent="0.2">
      <c r="E83" s="36">
        <f>SUM(E3:E82)</f>
        <v>0</v>
      </c>
      <c r="F83" s="36">
        <f>SUM(F3:F82)</f>
        <v>0</v>
      </c>
      <c r="G83" s="36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zoomScaleNormal="100" workbookViewId="0">
      <selection activeCell="E12" sqref="E12"/>
    </sheetView>
  </sheetViews>
  <sheetFormatPr defaultColWidth="8.7109375" defaultRowHeight="15" x14ac:dyDescent="0.25"/>
  <cols>
    <col min="1" max="1" width="32.85546875" bestFit="1" customWidth="1"/>
    <col min="2" max="2" width="13.7109375" bestFit="1" customWidth="1"/>
    <col min="4" max="4" width="12.28515625" bestFit="1" customWidth="1"/>
    <col min="5" max="5" width="82.7109375" bestFit="1" customWidth="1"/>
  </cols>
  <sheetData>
    <row r="1" spans="1:5" x14ac:dyDescent="0.25">
      <c r="A1" s="37" t="s">
        <v>194</v>
      </c>
      <c r="B1" s="37" t="s">
        <v>192</v>
      </c>
      <c r="C1" s="37" t="s">
        <v>193</v>
      </c>
      <c r="D1" s="37" t="s">
        <v>191</v>
      </c>
      <c r="E1" s="37" t="s">
        <v>198</v>
      </c>
    </row>
    <row r="3" spans="1:5" x14ac:dyDescent="0.25">
      <c r="A3" s="40" t="s">
        <v>188</v>
      </c>
      <c r="B3" s="38" t="s">
        <v>197</v>
      </c>
      <c r="C3" s="38" t="s">
        <v>189</v>
      </c>
      <c r="D3" s="40" t="s">
        <v>190</v>
      </c>
      <c r="E3" s="39" t="s">
        <v>199</v>
      </c>
    </row>
    <row r="4" spans="1:5" x14ac:dyDescent="0.25">
      <c r="A4" s="40" t="s">
        <v>195</v>
      </c>
      <c r="B4" s="38" t="s">
        <v>196</v>
      </c>
      <c r="C4" s="38"/>
      <c r="D4" s="40" t="s">
        <v>190</v>
      </c>
      <c r="E4" s="38" t="s">
        <v>200</v>
      </c>
    </row>
    <row r="6" spans="1:5" x14ac:dyDescent="0.25">
      <c r="A6" s="41" t="s">
        <v>201</v>
      </c>
      <c r="B6" s="41"/>
      <c r="C6" s="41"/>
      <c r="D6" s="4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Электрика</vt:lpstr>
      <vt:lpstr>Отопление</vt:lpstr>
      <vt:lpstr>ШЕФ-МОНТАЖ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cp:lastPrinted>2026-04-01T11:59:43Z</cp:lastPrinted>
  <dcterms:created xsi:type="dcterms:W3CDTF">2006-09-16T00:00:00Z</dcterms:created>
  <dcterms:modified xsi:type="dcterms:W3CDTF">2026-10-07T14:58:06Z</dcterms:modified>
  <dc:language>ru-RU</dc:language>
</cp:coreProperties>
</file>